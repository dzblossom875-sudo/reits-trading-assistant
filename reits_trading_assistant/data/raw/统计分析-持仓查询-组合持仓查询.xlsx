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AI投研工具\Claude Code\fupan\reits_trading_assistant\data\raw\"/>
    </mc:Choice>
  </mc:AlternateContent>
  <xr:revisionPtr revIDLastSave="0" documentId="13_ncr:1_{32E61C3A-766A-46F8-9A6A-DAD519D61237}" xr6:coauthVersionLast="47" xr6:coauthVersionMax="47" xr10:uidLastSave="{00000000-0000-0000-0000-000000000000}"/>
  <bookViews>
    <workbookView xWindow="14385" yWindow="-16290" windowWidth="28980" windowHeight="1566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" i="1" l="1"/>
  <c r="N19" i="1"/>
  <c r="N35" i="1"/>
  <c r="N51" i="1"/>
  <c r="N67" i="1"/>
  <c r="N21" i="1"/>
  <c r="N69" i="1"/>
  <c r="N38" i="1"/>
  <c r="N70" i="1"/>
  <c r="N23" i="1"/>
  <c r="N55" i="1"/>
  <c r="N40" i="1"/>
  <c r="N56" i="1"/>
  <c r="N25" i="1"/>
  <c r="N42" i="1"/>
  <c r="N11" i="1"/>
  <c r="N75" i="1"/>
  <c r="N14" i="1"/>
  <c r="N46" i="1"/>
  <c r="N4" i="1"/>
  <c r="N20" i="1"/>
  <c r="N36" i="1"/>
  <c r="N52" i="1"/>
  <c r="N68" i="1"/>
  <c r="N37" i="1"/>
  <c r="N53" i="1"/>
  <c r="N22" i="1"/>
  <c r="N54" i="1"/>
  <c r="N7" i="1"/>
  <c r="N39" i="1"/>
  <c r="N71" i="1"/>
  <c r="N43" i="1"/>
  <c r="N30" i="1"/>
  <c r="N62" i="1"/>
  <c r="N47" i="1"/>
  <c r="N16" i="1"/>
  <c r="N65" i="1"/>
  <c r="N5" i="1"/>
  <c r="N24" i="1"/>
  <c r="N9" i="1"/>
  <c r="N57" i="1"/>
  <c r="N73" i="1"/>
  <c r="N26" i="1"/>
  <c r="N58" i="1"/>
  <c r="N27" i="1"/>
  <c r="N28" i="1"/>
  <c r="N60" i="1"/>
  <c r="N29" i="1"/>
  <c r="N15" i="1"/>
  <c r="N32" i="1"/>
  <c r="N17" i="1"/>
  <c r="N6" i="1"/>
  <c r="N49" i="1"/>
  <c r="N66" i="1"/>
  <c r="N72" i="1"/>
  <c r="N76" i="1"/>
  <c r="N61" i="1"/>
  <c r="N18" i="1"/>
  <c r="N50" i="1"/>
  <c r="N8" i="1"/>
  <c r="N41" i="1"/>
  <c r="N10" i="1"/>
  <c r="N74" i="1"/>
  <c r="N59" i="1"/>
  <c r="N12" i="1"/>
  <c r="N44" i="1"/>
  <c r="N13" i="1"/>
  <c r="N45" i="1"/>
  <c r="N31" i="1"/>
  <c r="N64" i="1"/>
  <c r="N33" i="1"/>
  <c r="N63" i="1"/>
  <c r="N34" i="1"/>
  <c r="N48" i="1"/>
  <c r="N2" i="1"/>
</calcChain>
</file>

<file path=xl/sharedStrings.xml><?xml version="1.0" encoding="utf-8"?>
<sst xmlns="http://schemas.openxmlformats.org/spreadsheetml/2006/main" count="2383" uniqueCount="230">
  <si>
    <t>业务日期</t>
  </si>
  <si>
    <t>产品代码</t>
  </si>
  <si>
    <t>产品名称</t>
  </si>
  <si>
    <t>产品分组</t>
  </si>
  <si>
    <t>资产类别</t>
  </si>
  <si>
    <t>单元编号</t>
  </si>
  <si>
    <t>单元名称</t>
  </si>
  <si>
    <t>组合编号</t>
  </si>
  <si>
    <t>组合名称</t>
  </si>
  <si>
    <t>投资类型</t>
  </si>
  <si>
    <t>交易市场</t>
  </si>
  <si>
    <t>证券代码</t>
  </si>
  <si>
    <t>证券名称</t>
  </si>
  <si>
    <t>证券类别</t>
  </si>
  <si>
    <t>上市板块</t>
  </si>
  <si>
    <t>本币持仓市值/产品净资产(%)</t>
  </si>
  <si>
    <t>本币持仓市值/单元净资产(%)</t>
  </si>
  <si>
    <t>本币持仓市值/组合总市值(%)</t>
  </si>
  <si>
    <t>合同代码</t>
  </si>
  <si>
    <t>合同名称</t>
  </si>
  <si>
    <t>合同类别</t>
  </si>
  <si>
    <t>停牌标志</t>
  </si>
  <si>
    <t>长期停牌</t>
  </si>
  <si>
    <t>结算币种</t>
  </si>
  <si>
    <t>本币币种</t>
  </si>
  <si>
    <t>最新价(元)</t>
  </si>
  <si>
    <t>当前数量(股/张/份/手)</t>
  </si>
  <si>
    <t>当日买量(股/张/份/手)</t>
  </si>
  <si>
    <t>当日卖量(股/张/份/手)</t>
  </si>
  <si>
    <t>净买量(股/张/份/手)</t>
  </si>
  <si>
    <t>当日买金额(元)</t>
  </si>
  <si>
    <t>当日卖金额(元)</t>
  </si>
  <si>
    <t>当日净买入金额(元)</t>
  </si>
  <si>
    <t>成本单价(元)</t>
  </si>
  <si>
    <t>当前成本(元)</t>
  </si>
  <si>
    <t>浮动盈亏(元)</t>
  </si>
  <si>
    <t>浮动盈亏率(%)</t>
  </si>
  <si>
    <t>当日盈亏(元)</t>
  </si>
  <si>
    <t>当日盈亏率(%)</t>
  </si>
  <si>
    <t>总体盈亏(元)</t>
  </si>
  <si>
    <t>总体盈亏率(%)</t>
  </si>
  <si>
    <t>累计盈亏(元)</t>
  </si>
  <si>
    <t>累计盈亏率(%)</t>
  </si>
  <si>
    <t>本币持仓市值(元)</t>
  </si>
  <si>
    <t>多空标志</t>
  </si>
  <si>
    <t>持仓席位</t>
  </si>
  <si>
    <t>股东代码</t>
  </si>
  <si>
    <t>自定义分类</t>
  </si>
  <si>
    <t>到期日</t>
  </si>
  <si>
    <t>柜台债开办机构号</t>
  </si>
  <si>
    <t>托管机构(二级)</t>
  </si>
  <si>
    <t>销售机构</t>
  </si>
  <si>
    <t>所属证券池</t>
  </si>
  <si>
    <t>当前成本含费(元)</t>
  </si>
  <si>
    <t>当前成本不含费(元)</t>
  </si>
  <si>
    <t>成本单价含费(元)</t>
  </si>
  <si>
    <t>成本单价不含费(元)</t>
  </si>
  <si>
    <t>2026/03/25</t>
  </si>
  <si>
    <t>ZC1E7G</t>
  </si>
  <si>
    <t>明珠76号</t>
  </si>
  <si>
    <t/>
  </si>
  <si>
    <t>基金资产</t>
  </si>
  <si>
    <t>ZC1E7G00</t>
  </si>
  <si>
    <t>缺省单元</t>
  </si>
  <si>
    <t>1046000</t>
  </si>
  <si>
    <t>缺省组合</t>
  </si>
  <si>
    <t>可交易/FVPL</t>
  </si>
  <si>
    <t>深交所A</t>
  </si>
  <si>
    <t>180101</t>
  </si>
  <si>
    <t>博时蛇口产园REIT</t>
  </si>
  <si>
    <t>REITs基金</t>
  </si>
  <si>
    <t>--</t>
  </si>
  <si>
    <t>正常交易</t>
  </si>
  <si>
    <t>否</t>
  </si>
  <si>
    <t>人民币</t>
  </si>
  <si>
    <t>多仓</t>
  </si>
  <si>
    <t>005100</t>
  </si>
  <si>
    <t>0899478032</t>
  </si>
  <si>
    <t>180102</t>
  </si>
  <si>
    <t>华夏合肥高新REIT</t>
  </si>
  <si>
    <t>180103</t>
  </si>
  <si>
    <t>华夏和达高科REIT</t>
  </si>
  <si>
    <t>180105</t>
  </si>
  <si>
    <t>易方达广开产园REIT</t>
  </si>
  <si>
    <t>180106</t>
  </si>
  <si>
    <t>广发成都高投产业园REIT</t>
  </si>
  <si>
    <t>180201</t>
  </si>
  <si>
    <t>平安广州广河REIT</t>
  </si>
  <si>
    <t>180202</t>
  </si>
  <si>
    <t>华夏越秀高速REIT</t>
  </si>
  <si>
    <t>180203</t>
  </si>
  <si>
    <t>招商高速公路REIT</t>
  </si>
  <si>
    <t>180301</t>
  </si>
  <si>
    <t>红土创新盐田港REIT</t>
  </si>
  <si>
    <t>180302</t>
  </si>
  <si>
    <t>华夏深国际REIT</t>
  </si>
  <si>
    <t>180303</t>
  </si>
  <si>
    <t>华泰宝湾物流REIT</t>
  </si>
  <si>
    <t>180305</t>
  </si>
  <si>
    <t>南方顺丰物流REIT</t>
  </si>
  <si>
    <t>180401</t>
  </si>
  <si>
    <t>鹏华深圳能源REIT</t>
  </si>
  <si>
    <t>180402</t>
  </si>
  <si>
    <t>工银蒙能清洁能源REIT</t>
  </si>
  <si>
    <t>180501</t>
  </si>
  <si>
    <t>红土创新深圳安居REIT</t>
  </si>
  <si>
    <t>180502</t>
  </si>
  <si>
    <t>招商基金蛇口租赁住房REIT</t>
  </si>
  <si>
    <t>180601</t>
  </si>
  <si>
    <t>华夏华润商业REIT</t>
  </si>
  <si>
    <t>180602</t>
  </si>
  <si>
    <t>中金印力消费REIT</t>
  </si>
  <si>
    <t>180603</t>
  </si>
  <si>
    <t>华夏大悦城商业REIT</t>
  </si>
  <si>
    <t>180605</t>
  </si>
  <si>
    <t>易方达华威市场REIT</t>
  </si>
  <si>
    <t>180606</t>
  </si>
  <si>
    <t>中金中国绿发商业REIT</t>
  </si>
  <si>
    <t>180607</t>
  </si>
  <si>
    <t>华夏中海商业REIT</t>
  </si>
  <si>
    <t>180701</t>
  </si>
  <si>
    <t>银华绍兴原水水利REIT</t>
  </si>
  <si>
    <t>180801</t>
  </si>
  <si>
    <t>中航首钢绿能REIT</t>
  </si>
  <si>
    <t>180901</t>
  </si>
  <si>
    <t>南方润泽科技数据中心REIT</t>
  </si>
  <si>
    <t>上交所A</t>
  </si>
  <si>
    <t>508000</t>
  </si>
  <si>
    <t>张江REIT</t>
  </si>
  <si>
    <t>61082</t>
  </si>
  <si>
    <t>B887326854</t>
  </si>
  <si>
    <t>508001</t>
  </si>
  <si>
    <t>浙江杭徽</t>
  </si>
  <si>
    <t>508002</t>
  </si>
  <si>
    <t>百联消费</t>
  </si>
  <si>
    <t>508003</t>
  </si>
  <si>
    <t>中金联东</t>
  </si>
  <si>
    <t>508005</t>
  </si>
  <si>
    <t>首创奥莱</t>
  </si>
  <si>
    <t>508006</t>
  </si>
  <si>
    <t>首创水务</t>
  </si>
  <si>
    <t>508007</t>
  </si>
  <si>
    <t>山东高速</t>
  </si>
  <si>
    <t>508008</t>
  </si>
  <si>
    <t>铁建REIT</t>
  </si>
  <si>
    <t>508009</t>
  </si>
  <si>
    <t>安徽交控</t>
  </si>
  <si>
    <t>508010</t>
  </si>
  <si>
    <t>重庆两江</t>
  </si>
  <si>
    <t>508011</t>
  </si>
  <si>
    <t>物美消费</t>
  </si>
  <si>
    <t>508012</t>
  </si>
  <si>
    <t>招商科创</t>
  </si>
  <si>
    <t>508015</t>
  </si>
  <si>
    <t>明阳REIT</t>
  </si>
  <si>
    <t>508016</t>
  </si>
  <si>
    <t>华电REIT</t>
  </si>
  <si>
    <t>508017</t>
  </si>
  <si>
    <t>金茂商业</t>
  </si>
  <si>
    <t>508018</t>
  </si>
  <si>
    <t>中交REIT</t>
  </si>
  <si>
    <t>508021</t>
  </si>
  <si>
    <t>临港REIT</t>
  </si>
  <si>
    <t>508022</t>
  </si>
  <si>
    <t>津开产园</t>
  </si>
  <si>
    <t>508026</t>
  </si>
  <si>
    <t>电建清源</t>
  </si>
  <si>
    <t>508027</t>
  </si>
  <si>
    <t>东吴苏园</t>
  </si>
  <si>
    <t>508028</t>
  </si>
  <si>
    <t>国家电投</t>
  </si>
  <si>
    <t>508031</t>
  </si>
  <si>
    <t>城投宽庭</t>
  </si>
  <si>
    <t>508033</t>
  </si>
  <si>
    <t>深高REIT</t>
  </si>
  <si>
    <t>508036</t>
  </si>
  <si>
    <t>甬交REIT</t>
  </si>
  <si>
    <t>508039</t>
  </si>
  <si>
    <t>首农REIT</t>
  </si>
  <si>
    <t>508048</t>
  </si>
  <si>
    <t>外高REIT</t>
  </si>
  <si>
    <t>508055</t>
  </si>
  <si>
    <t>地产租住</t>
  </si>
  <si>
    <t>508056</t>
  </si>
  <si>
    <t>普洛斯</t>
  </si>
  <si>
    <t>508058</t>
  </si>
  <si>
    <t>厦门安居</t>
  </si>
  <si>
    <t>508060</t>
  </si>
  <si>
    <t>万国REIT</t>
  </si>
  <si>
    <t>508066</t>
  </si>
  <si>
    <t>苏交REIT</t>
  </si>
  <si>
    <t>508068</t>
  </si>
  <si>
    <t>京保REIT</t>
  </si>
  <si>
    <t>508069</t>
  </si>
  <si>
    <t>南京交通</t>
  </si>
  <si>
    <t>508077</t>
  </si>
  <si>
    <t>华润有巢</t>
  </si>
  <si>
    <t>508078</t>
  </si>
  <si>
    <t>易商仓储</t>
  </si>
  <si>
    <t>508080</t>
  </si>
  <si>
    <t>北京亦庄</t>
  </si>
  <si>
    <t>508082</t>
  </si>
  <si>
    <t>唯品奥莱</t>
  </si>
  <si>
    <t>508084</t>
  </si>
  <si>
    <t>九州通R</t>
  </si>
  <si>
    <t>508085</t>
  </si>
  <si>
    <t>恒泰租住</t>
  </si>
  <si>
    <t>508086</t>
  </si>
  <si>
    <t>河北高速</t>
  </si>
  <si>
    <t>508087</t>
  </si>
  <si>
    <t>济南能源</t>
  </si>
  <si>
    <t>508088</t>
  </si>
  <si>
    <t>东久REIT</t>
  </si>
  <si>
    <t>508089</t>
  </si>
  <si>
    <t>特变REIT</t>
  </si>
  <si>
    <t>508090</t>
  </si>
  <si>
    <t>外运REIT</t>
  </si>
  <si>
    <t>508091</t>
  </si>
  <si>
    <t>凯德商业</t>
  </si>
  <si>
    <t>508092</t>
  </si>
  <si>
    <t>金隅智造</t>
  </si>
  <si>
    <t>508096</t>
  </si>
  <si>
    <t>京能国际</t>
  </si>
  <si>
    <t>508097</t>
  </si>
  <si>
    <t>建邺REIT</t>
  </si>
  <si>
    <t>508098</t>
  </si>
  <si>
    <t>京东仓储</t>
  </si>
  <si>
    <t>508099</t>
  </si>
  <si>
    <t>中关村</t>
  </si>
  <si>
    <t>原始权益人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</si>
</sst>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7" formatCode="0.000000"/>
    <numFmt numFmtId="178" formatCode="0.0000"/>
  </numFmts>
  <fonts count="2" x14ac:knownFonts="1">
    <font>
      <sz val="12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77" fontId="0" fillId="0" borderId="0" xfId="0" applyNumberFormat="1"/>
    <xf numFmtId="178" fontId="0" fillId="0" borderId="0" xfId="0" applyNumberFormat="1"/>
    <xf numFmtId="4" fontId="0" fillId="0" borderId="0" xfId="0" applyNumberFormat="1"/>
    <xf numFmtId="2" fontId="0" fillId="0" borderId="0" xfId="0" applyNumberFormat="1"/>
  </cellXfs>
  <cellStyles count="1">
    <cellStyle name="常规" xfId="0" builtinId="0"/>
  </cellStyles>
  <dxfs count="0"/>
  <tableStyles count="1" defaultTableStyle="TableStyleMedium9" defaultPivotStyle="PivotStyleMedium4">
    <tableStyle name="Invisible" pivot="0" table="0" count="0" xr9:uid="{67FA8772-309B-438E-96EE-9719E7A5083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install/wind/DataBrowse/XLA/WindFunc.xla" TargetMode="External"/><Relationship Id="rId2" Type="http://schemas.openxmlformats.org/officeDocument/2006/relationships/externalLinkPath" Target="file:///D:\install\wind\DataBrowse\XLA\WindFunc.xla" TargetMode="External"/><Relationship Id="rId1" Type="http://schemas.openxmlformats.org/officeDocument/2006/relationships/externalLinkPath" Target="/install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f_info_reitsoriginal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F76"/>
  <sheetViews>
    <sheetView tabSelected="1" topLeftCell="I1" workbookViewId="0">
      <selection activeCell="N10" sqref="N10"/>
    </sheetView>
  </sheetViews>
  <sheetFormatPr defaultRowHeight="15" x14ac:dyDescent="0.55000000000000004"/>
  <cols>
    <col min="1" max="2" width="16.6640625" customWidth="1"/>
    <col min="3" max="4" width="25" customWidth="1"/>
    <col min="5" max="7" width="16.6640625" customWidth="1"/>
    <col min="8" max="8" width="25" customWidth="1"/>
    <col min="9" max="9" width="30" customWidth="1"/>
    <col min="10" max="10" width="25" customWidth="1"/>
    <col min="11" max="12" width="16.6640625" customWidth="1"/>
    <col min="13" max="13" width="20" customWidth="1"/>
    <col min="14" max="14" width="27.33203125" customWidth="1"/>
    <col min="15" max="15" width="23.33203125" customWidth="1"/>
    <col min="16" max="16" width="13.33203125" customWidth="1"/>
    <col min="17" max="19" width="25" customWidth="1"/>
    <col min="20" max="26" width="16.6640625" customWidth="1"/>
    <col min="27" max="28" width="25" customWidth="1"/>
    <col min="29" max="34" width="23.33203125" customWidth="1"/>
    <col min="35" max="45" width="25" customWidth="1"/>
    <col min="46" max="46" width="13.33203125" customWidth="1"/>
    <col min="47" max="47" width="25" customWidth="1"/>
    <col min="48" max="49" width="21.6640625" customWidth="1"/>
    <col min="50" max="50" width="18.33203125" customWidth="1"/>
    <col min="51" max="51" width="20" customWidth="1"/>
    <col min="52" max="52" width="23.33203125" customWidth="1"/>
    <col min="53" max="53" width="18.33203125" customWidth="1"/>
    <col min="54" max="58" width="25" customWidth="1"/>
  </cols>
  <sheetData>
    <row r="1" spans="1:58" x14ac:dyDescent="0.5500000000000000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229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</row>
    <row r="2" spans="1:58" x14ac:dyDescent="0.55000000000000004">
      <c r="A2" t="s">
        <v>57</v>
      </c>
      <c r="B2" t="s">
        <v>58</v>
      </c>
      <c r="C2" t="s">
        <v>59</v>
      </c>
      <c r="D2" t="s">
        <v>60</v>
      </c>
      <c r="E2" t="s">
        <v>61</v>
      </c>
      <c r="F2" t="s">
        <v>62</v>
      </c>
      <c r="G2" t="s">
        <v>63</v>
      </c>
      <c r="H2" t="s">
        <v>64</v>
      </c>
      <c r="I2" t="s">
        <v>65</v>
      </c>
      <c r="J2" t="s">
        <v>66</v>
      </c>
      <c r="K2" t="s">
        <v>67</v>
      </c>
      <c r="L2" t="s">
        <v>68</v>
      </c>
      <c r="M2" t="s">
        <v>69</v>
      </c>
      <c r="N2" t="str">
        <f>[1]!f_info_reitsoriginal(L2,1)</f>
        <v>招商局光明科技园有限公司</v>
      </c>
      <c r="O2" t="s">
        <v>70</v>
      </c>
      <c r="P2" t="s">
        <v>71</v>
      </c>
      <c r="Q2" s="1">
        <v>0.76080000000000003</v>
      </c>
      <c r="R2" s="1">
        <v>0.76590000000000003</v>
      </c>
      <c r="S2" s="1">
        <v>0.79930000000000001</v>
      </c>
      <c r="T2" t="s">
        <v>71</v>
      </c>
      <c r="U2" t="s">
        <v>71</v>
      </c>
      <c r="V2" t="s">
        <v>71</v>
      </c>
      <c r="W2" t="s">
        <v>72</v>
      </c>
      <c r="X2" t="s">
        <v>73</v>
      </c>
      <c r="Y2" t="s">
        <v>74</v>
      </c>
      <c r="Z2" t="s">
        <v>74</v>
      </c>
      <c r="AA2" s="2">
        <v>1.8879999999999999</v>
      </c>
      <c r="AB2" s="3">
        <v>2018890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1.95</v>
      </c>
      <c r="AJ2" s="3">
        <v>3943179.57</v>
      </c>
      <c r="AK2" s="3">
        <v>-131515.25</v>
      </c>
      <c r="AL2" s="4">
        <v>-3.34</v>
      </c>
      <c r="AM2" s="4">
        <v>0</v>
      </c>
      <c r="AN2" s="4">
        <v>0</v>
      </c>
      <c r="AO2" s="3">
        <v>-107198.5</v>
      </c>
      <c r="AP2" s="4">
        <v>-2.72</v>
      </c>
      <c r="AQ2" s="3">
        <v>24316.75</v>
      </c>
      <c r="AR2" s="4">
        <v>0.62</v>
      </c>
      <c r="AS2" s="3">
        <v>3811664.32</v>
      </c>
      <c r="AT2" t="s">
        <v>75</v>
      </c>
      <c r="AU2" t="s">
        <v>76</v>
      </c>
      <c r="AV2" t="s">
        <v>77</v>
      </c>
      <c r="AW2" t="s">
        <v>71</v>
      </c>
      <c r="AX2" t="s">
        <v>71</v>
      </c>
      <c r="AY2" t="s">
        <v>71</v>
      </c>
      <c r="AZ2" t="s">
        <v>71</v>
      </c>
      <c r="BA2" t="s">
        <v>71</v>
      </c>
      <c r="BB2" t="s">
        <v>60</v>
      </c>
      <c r="BC2" s="3">
        <v>3943179.57</v>
      </c>
      <c r="BD2" s="3">
        <v>3943179.57</v>
      </c>
      <c r="BE2" s="4">
        <v>1.95</v>
      </c>
      <c r="BF2" s="4">
        <v>1.95</v>
      </c>
    </row>
    <row r="3" spans="1:58" x14ac:dyDescent="0.55000000000000004">
      <c r="A3" t="s">
        <v>57</v>
      </c>
      <c r="B3" t="s">
        <v>58</v>
      </c>
      <c r="C3" t="s">
        <v>59</v>
      </c>
      <c r="D3" t="s">
        <v>60</v>
      </c>
      <c r="E3" t="s">
        <v>61</v>
      </c>
      <c r="F3" t="s">
        <v>62</v>
      </c>
      <c r="G3" t="s">
        <v>63</v>
      </c>
      <c r="H3" t="s">
        <v>64</v>
      </c>
      <c r="I3" t="s">
        <v>65</v>
      </c>
      <c r="J3" t="s">
        <v>66</v>
      </c>
      <c r="K3" t="s">
        <v>67</v>
      </c>
      <c r="L3" t="s">
        <v>78</v>
      </c>
      <c r="M3" t="s">
        <v>79</v>
      </c>
      <c r="N3" t="str">
        <f>[1]!f_info_reitsoriginal(L3,1)</f>
        <v>合肥高新城市发展集团有限公司</v>
      </c>
      <c r="O3" t="s">
        <v>70</v>
      </c>
      <c r="P3" t="s">
        <v>71</v>
      </c>
      <c r="Q3" s="1">
        <v>0.72550000000000003</v>
      </c>
      <c r="R3" s="1">
        <v>0.73029999999999995</v>
      </c>
      <c r="S3" s="1">
        <v>0.76219999999999999</v>
      </c>
      <c r="T3" t="s">
        <v>71</v>
      </c>
      <c r="U3" t="s">
        <v>71</v>
      </c>
      <c r="V3" t="s">
        <v>71</v>
      </c>
      <c r="W3" t="s">
        <v>72</v>
      </c>
      <c r="X3" t="s">
        <v>73</v>
      </c>
      <c r="Y3" t="s">
        <v>74</v>
      </c>
      <c r="Z3" t="s">
        <v>74</v>
      </c>
      <c r="AA3" s="2">
        <v>1.4610000000000001</v>
      </c>
      <c r="AB3" s="3">
        <v>2487835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1.65</v>
      </c>
      <c r="AJ3" s="3">
        <v>4103382.1</v>
      </c>
      <c r="AK3" s="3">
        <v>-468655.16</v>
      </c>
      <c r="AL3" s="4">
        <v>-11.42</v>
      </c>
      <c r="AM3" s="4">
        <v>0</v>
      </c>
      <c r="AN3" s="4">
        <v>0</v>
      </c>
      <c r="AO3" s="3">
        <v>-526203.39</v>
      </c>
      <c r="AP3" s="4">
        <v>-12.82</v>
      </c>
      <c r="AQ3" s="3">
        <v>-57548.23</v>
      </c>
      <c r="AR3" s="4">
        <v>-1.4</v>
      </c>
      <c r="AS3" s="3">
        <v>3634726.94</v>
      </c>
      <c r="AT3" t="s">
        <v>75</v>
      </c>
      <c r="AU3" t="s">
        <v>76</v>
      </c>
      <c r="AV3" t="s">
        <v>77</v>
      </c>
      <c r="AW3" t="s">
        <v>71</v>
      </c>
      <c r="AX3" t="s">
        <v>71</v>
      </c>
      <c r="AY3" t="s">
        <v>71</v>
      </c>
      <c r="AZ3" t="s">
        <v>71</v>
      </c>
      <c r="BA3" t="s">
        <v>71</v>
      </c>
      <c r="BB3" t="s">
        <v>60</v>
      </c>
      <c r="BC3" s="3">
        <v>4103382.1</v>
      </c>
      <c r="BD3" s="3">
        <v>4103382.1</v>
      </c>
      <c r="BE3" s="4">
        <v>1.65</v>
      </c>
      <c r="BF3" s="4">
        <v>1.65</v>
      </c>
    </row>
    <row r="4" spans="1:58" x14ac:dyDescent="0.55000000000000004">
      <c r="A4" t="s">
        <v>57</v>
      </c>
      <c r="B4" t="s">
        <v>58</v>
      </c>
      <c r="C4" t="s">
        <v>59</v>
      </c>
      <c r="D4" t="s">
        <v>60</v>
      </c>
      <c r="E4" t="s">
        <v>61</v>
      </c>
      <c r="F4" t="s">
        <v>62</v>
      </c>
      <c r="G4" t="s">
        <v>63</v>
      </c>
      <c r="H4" t="s">
        <v>64</v>
      </c>
      <c r="I4" t="s">
        <v>65</v>
      </c>
      <c r="J4" t="s">
        <v>66</v>
      </c>
      <c r="K4" t="s">
        <v>67</v>
      </c>
      <c r="L4" t="s">
        <v>80</v>
      </c>
      <c r="M4" t="s">
        <v>81</v>
      </c>
      <c r="N4" t="str">
        <f>[1]!f_info_reitsoriginal(L4,1)</f>
        <v>杭州和达高科技发展集团有限公司</v>
      </c>
      <c r="O4" t="s">
        <v>70</v>
      </c>
      <c r="P4" t="s">
        <v>71</v>
      </c>
      <c r="Q4" s="1">
        <v>0.3049</v>
      </c>
      <c r="R4" s="1">
        <v>0.30690000000000001</v>
      </c>
      <c r="S4" s="1">
        <v>0.32029999999999997</v>
      </c>
      <c r="T4" t="s">
        <v>71</v>
      </c>
      <c r="U4" t="s">
        <v>71</v>
      </c>
      <c r="V4" t="s">
        <v>71</v>
      </c>
      <c r="W4" t="s">
        <v>72</v>
      </c>
      <c r="X4" t="s">
        <v>73</v>
      </c>
      <c r="Y4" t="s">
        <v>74</v>
      </c>
      <c r="Z4" t="s">
        <v>74</v>
      </c>
      <c r="AA4" s="2">
        <v>2.0859999999999999</v>
      </c>
      <c r="AB4" s="3">
        <v>732177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2.2200000000000002</v>
      </c>
      <c r="AJ4" s="3">
        <v>1628377.61</v>
      </c>
      <c r="AK4" s="3">
        <v>-101056.39</v>
      </c>
      <c r="AL4" s="4">
        <v>-6.21</v>
      </c>
      <c r="AM4" s="4">
        <v>0</v>
      </c>
      <c r="AN4" s="4">
        <v>0</v>
      </c>
      <c r="AO4" s="3">
        <v>-210271.05</v>
      </c>
      <c r="AP4" s="4">
        <v>-12.91</v>
      </c>
      <c r="AQ4" s="3">
        <v>-109214.66</v>
      </c>
      <c r="AR4" s="4">
        <v>-6.71</v>
      </c>
      <c r="AS4" s="3">
        <v>1527321.22</v>
      </c>
      <c r="AT4" t="s">
        <v>75</v>
      </c>
      <c r="AU4" t="s">
        <v>76</v>
      </c>
      <c r="AV4" t="s">
        <v>77</v>
      </c>
      <c r="AW4" t="s">
        <v>71</v>
      </c>
      <c r="AX4" t="s">
        <v>71</v>
      </c>
      <c r="AY4" t="s">
        <v>71</v>
      </c>
      <c r="AZ4" t="s">
        <v>71</v>
      </c>
      <c r="BA4" t="s">
        <v>71</v>
      </c>
      <c r="BB4" t="s">
        <v>60</v>
      </c>
      <c r="BC4" s="3">
        <v>1628377.61</v>
      </c>
      <c r="BD4" s="3">
        <v>1628377.61</v>
      </c>
      <c r="BE4" s="4">
        <v>2.2200000000000002</v>
      </c>
      <c r="BF4" s="4">
        <v>2.2200000000000002</v>
      </c>
    </row>
    <row r="5" spans="1:58" x14ac:dyDescent="0.55000000000000004">
      <c r="A5" t="s">
        <v>57</v>
      </c>
      <c r="B5" t="s">
        <v>58</v>
      </c>
      <c r="C5" t="s">
        <v>59</v>
      </c>
      <c r="D5" t="s">
        <v>60</v>
      </c>
      <c r="E5" t="s">
        <v>61</v>
      </c>
      <c r="F5" t="s">
        <v>62</v>
      </c>
      <c r="G5" t="s">
        <v>63</v>
      </c>
      <c r="H5" t="s">
        <v>64</v>
      </c>
      <c r="I5" t="s">
        <v>65</v>
      </c>
      <c r="J5" t="s">
        <v>66</v>
      </c>
      <c r="K5" t="s">
        <v>67</v>
      </c>
      <c r="L5" t="s">
        <v>82</v>
      </c>
      <c r="M5" t="s">
        <v>83</v>
      </c>
      <c r="N5" t="str">
        <f>[1]!f_info_reitsoriginal(L5,1)</f>
        <v>广州开发区控股集团有限公司</v>
      </c>
      <c r="O5" t="s">
        <v>70</v>
      </c>
      <c r="P5" t="s">
        <v>71</v>
      </c>
      <c r="Q5" s="1">
        <v>0.45939999999999998</v>
      </c>
      <c r="R5" s="1">
        <v>0.46250000000000002</v>
      </c>
      <c r="S5" s="1">
        <v>0.48270000000000002</v>
      </c>
      <c r="T5" t="s">
        <v>71</v>
      </c>
      <c r="U5" t="s">
        <v>71</v>
      </c>
      <c r="V5" t="s">
        <v>71</v>
      </c>
      <c r="W5" t="s">
        <v>72</v>
      </c>
      <c r="X5" t="s">
        <v>73</v>
      </c>
      <c r="Y5" t="s">
        <v>74</v>
      </c>
      <c r="Z5" t="s">
        <v>74</v>
      </c>
      <c r="AA5" s="2">
        <v>1.726</v>
      </c>
      <c r="AB5" s="3">
        <v>1333500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1.93</v>
      </c>
      <c r="AJ5" s="3">
        <v>2578991.9300000002</v>
      </c>
      <c r="AK5" s="3">
        <v>-277370.93</v>
      </c>
      <c r="AL5" s="4">
        <v>-10.76</v>
      </c>
      <c r="AM5" s="4">
        <v>0</v>
      </c>
      <c r="AN5" s="4">
        <v>0</v>
      </c>
      <c r="AO5" s="3">
        <v>-405992.14</v>
      </c>
      <c r="AP5" s="4">
        <v>-15.74</v>
      </c>
      <c r="AQ5" s="3">
        <v>-128621.21</v>
      </c>
      <c r="AR5" s="4">
        <v>-4.99</v>
      </c>
      <c r="AS5" s="3">
        <v>2301621</v>
      </c>
      <c r="AT5" t="s">
        <v>75</v>
      </c>
      <c r="AU5" t="s">
        <v>76</v>
      </c>
      <c r="AV5" t="s">
        <v>77</v>
      </c>
      <c r="AW5" t="s">
        <v>71</v>
      </c>
      <c r="AX5" t="s">
        <v>71</v>
      </c>
      <c r="AY5" t="s">
        <v>71</v>
      </c>
      <c r="AZ5" t="s">
        <v>71</v>
      </c>
      <c r="BA5" t="s">
        <v>71</v>
      </c>
      <c r="BB5" t="s">
        <v>60</v>
      </c>
      <c r="BC5" s="3">
        <v>2578991.9300000002</v>
      </c>
      <c r="BD5" s="3">
        <v>2578991.9300000002</v>
      </c>
      <c r="BE5" s="4">
        <v>1.93</v>
      </c>
      <c r="BF5" s="4">
        <v>1.93</v>
      </c>
    </row>
    <row r="6" spans="1:58" x14ac:dyDescent="0.55000000000000004">
      <c r="A6" t="s">
        <v>57</v>
      </c>
      <c r="B6" t="s">
        <v>58</v>
      </c>
      <c r="C6" t="s">
        <v>59</v>
      </c>
      <c r="D6" t="s">
        <v>60</v>
      </c>
      <c r="E6" t="s">
        <v>61</v>
      </c>
      <c r="F6" t="s">
        <v>62</v>
      </c>
      <c r="G6" t="s">
        <v>63</v>
      </c>
      <c r="H6" t="s">
        <v>64</v>
      </c>
      <c r="I6" t="s">
        <v>65</v>
      </c>
      <c r="J6" t="s">
        <v>66</v>
      </c>
      <c r="K6" t="s">
        <v>67</v>
      </c>
      <c r="L6" t="s">
        <v>84</v>
      </c>
      <c r="M6" t="s">
        <v>85</v>
      </c>
      <c r="N6" t="str">
        <f>[1]!f_info_reitsoriginal(L6,1)</f>
        <v>成都高投置业有限公司</v>
      </c>
      <c r="O6" t="s">
        <v>70</v>
      </c>
      <c r="P6" t="s">
        <v>71</v>
      </c>
      <c r="Q6" s="1">
        <v>1.2408999999999999</v>
      </c>
      <c r="R6" s="1">
        <v>1.2491000000000001</v>
      </c>
      <c r="S6" s="1">
        <v>1.3037000000000001</v>
      </c>
      <c r="T6" t="s">
        <v>71</v>
      </c>
      <c r="U6" t="s">
        <v>71</v>
      </c>
      <c r="V6" t="s">
        <v>71</v>
      </c>
      <c r="W6" t="s">
        <v>72</v>
      </c>
      <c r="X6" t="s">
        <v>73</v>
      </c>
      <c r="Y6" t="s">
        <v>74</v>
      </c>
      <c r="Z6" t="s">
        <v>74</v>
      </c>
      <c r="AA6" s="2">
        <v>3.36</v>
      </c>
      <c r="AB6" s="3">
        <v>1850265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3.5</v>
      </c>
      <c r="AJ6" s="3">
        <v>6469860.1500000004</v>
      </c>
      <c r="AK6" s="3">
        <v>-252969.75</v>
      </c>
      <c r="AL6" s="4">
        <v>-3.91</v>
      </c>
      <c r="AM6" s="4">
        <v>0</v>
      </c>
      <c r="AN6" s="4">
        <v>0</v>
      </c>
      <c r="AO6" s="3">
        <v>-271294.05</v>
      </c>
      <c r="AP6" s="4">
        <v>-4.1900000000000004</v>
      </c>
      <c r="AQ6" s="3">
        <v>-18324.3</v>
      </c>
      <c r="AR6" s="4">
        <v>-0.28000000000000003</v>
      </c>
      <c r="AS6" s="3">
        <v>6216890.4000000004</v>
      </c>
      <c r="AT6" t="s">
        <v>75</v>
      </c>
      <c r="AU6" t="s">
        <v>76</v>
      </c>
      <c r="AV6" t="s">
        <v>77</v>
      </c>
      <c r="AW6" t="s">
        <v>71</v>
      </c>
      <c r="AX6" t="s">
        <v>71</v>
      </c>
      <c r="AY6" t="s">
        <v>71</v>
      </c>
      <c r="AZ6" t="s">
        <v>71</v>
      </c>
      <c r="BA6" t="s">
        <v>71</v>
      </c>
      <c r="BB6" t="s">
        <v>60</v>
      </c>
      <c r="BC6" s="3">
        <v>6469860.1500000004</v>
      </c>
      <c r="BD6" s="3">
        <v>6469860.1500000004</v>
      </c>
      <c r="BE6" s="4">
        <v>3.5</v>
      </c>
      <c r="BF6" s="4">
        <v>3.5</v>
      </c>
    </row>
    <row r="7" spans="1:58" x14ac:dyDescent="0.55000000000000004">
      <c r="A7" t="s">
        <v>57</v>
      </c>
      <c r="B7" t="s">
        <v>58</v>
      </c>
      <c r="C7" t="s">
        <v>59</v>
      </c>
      <c r="D7" t="s">
        <v>60</v>
      </c>
      <c r="E7" t="s">
        <v>61</v>
      </c>
      <c r="F7" t="s">
        <v>62</v>
      </c>
      <c r="G7" t="s">
        <v>63</v>
      </c>
      <c r="H7" t="s">
        <v>64</v>
      </c>
      <c r="I7" t="s">
        <v>65</v>
      </c>
      <c r="J7" t="s">
        <v>66</v>
      </c>
      <c r="K7" t="s">
        <v>67</v>
      </c>
      <c r="L7" t="s">
        <v>86</v>
      </c>
      <c r="M7" t="s">
        <v>87</v>
      </c>
      <c r="N7" t="str">
        <f>[1]!f_info_reitsoriginal(L7,1)</f>
        <v>广州交通投资集团有限公司</v>
      </c>
      <c r="O7" t="s">
        <v>70</v>
      </c>
      <c r="P7" t="s">
        <v>71</v>
      </c>
      <c r="Q7" s="1">
        <v>0.9395</v>
      </c>
      <c r="R7" s="1">
        <v>0.94569999999999999</v>
      </c>
      <c r="S7" s="1">
        <v>0.98699999999999999</v>
      </c>
      <c r="T7" t="s">
        <v>71</v>
      </c>
      <c r="U7" t="s">
        <v>71</v>
      </c>
      <c r="V7" t="s">
        <v>71</v>
      </c>
      <c r="W7" t="s">
        <v>72</v>
      </c>
      <c r="X7" t="s">
        <v>73</v>
      </c>
      <c r="Y7" t="s">
        <v>74</v>
      </c>
      <c r="Z7" t="s">
        <v>74</v>
      </c>
      <c r="AA7" s="2">
        <v>8.1669999999999998</v>
      </c>
      <c r="AB7" s="3">
        <v>576325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8.4700000000000006</v>
      </c>
      <c r="AJ7" s="3">
        <v>4878926.29</v>
      </c>
      <c r="AK7" s="3">
        <v>-172080.01</v>
      </c>
      <c r="AL7" s="4">
        <v>-3.53</v>
      </c>
      <c r="AM7" s="4">
        <v>0</v>
      </c>
      <c r="AN7" s="4">
        <v>0</v>
      </c>
      <c r="AO7" s="3">
        <v>-249519.97</v>
      </c>
      <c r="AP7" s="4">
        <v>-5.1100000000000003</v>
      </c>
      <c r="AQ7" s="3">
        <v>-77439.960000000006</v>
      </c>
      <c r="AR7" s="4">
        <v>-1.59</v>
      </c>
      <c r="AS7" s="3">
        <v>4706846.28</v>
      </c>
      <c r="AT7" t="s">
        <v>75</v>
      </c>
      <c r="AU7" t="s">
        <v>76</v>
      </c>
      <c r="AV7" t="s">
        <v>77</v>
      </c>
      <c r="AW7" t="s">
        <v>71</v>
      </c>
      <c r="AX7" t="s">
        <v>71</v>
      </c>
      <c r="AY7" t="s">
        <v>71</v>
      </c>
      <c r="AZ7" t="s">
        <v>71</v>
      </c>
      <c r="BA7" t="s">
        <v>71</v>
      </c>
      <c r="BB7" t="s">
        <v>60</v>
      </c>
      <c r="BC7" s="3">
        <v>4878926.29</v>
      </c>
      <c r="BD7" s="3">
        <v>4878926.29</v>
      </c>
      <c r="BE7" s="4">
        <v>8.4700000000000006</v>
      </c>
      <c r="BF7" s="4">
        <v>8.4700000000000006</v>
      </c>
    </row>
    <row r="8" spans="1:58" x14ac:dyDescent="0.55000000000000004">
      <c r="A8" t="s">
        <v>57</v>
      </c>
      <c r="B8" t="s">
        <v>58</v>
      </c>
      <c r="C8" t="s">
        <v>59</v>
      </c>
      <c r="D8" t="s">
        <v>60</v>
      </c>
      <c r="E8" t="s">
        <v>61</v>
      </c>
      <c r="F8" t="s">
        <v>62</v>
      </c>
      <c r="G8" t="s">
        <v>63</v>
      </c>
      <c r="H8" t="s">
        <v>64</v>
      </c>
      <c r="I8" t="s">
        <v>65</v>
      </c>
      <c r="J8" t="s">
        <v>66</v>
      </c>
      <c r="K8" t="s">
        <v>67</v>
      </c>
      <c r="L8" t="s">
        <v>88</v>
      </c>
      <c r="M8" t="s">
        <v>89</v>
      </c>
      <c r="N8" t="str">
        <f>[1]!f_info_reitsoriginal(L8,1)</f>
        <v>越秀(中国)交通基建投资有限公司</v>
      </c>
      <c r="O8" t="s">
        <v>70</v>
      </c>
      <c r="P8" t="s">
        <v>71</v>
      </c>
      <c r="Q8" s="1">
        <v>0.70960000000000001</v>
      </c>
      <c r="R8" s="1">
        <v>0.71430000000000005</v>
      </c>
      <c r="S8" s="1">
        <v>0.74550000000000005</v>
      </c>
      <c r="T8" t="s">
        <v>71</v>
      </c>
      <c r="U8" t="s">
        <v>71</v>
      </c>
      <c r="V8" t="s">
        <v>71</v>
      </c>
      <c r="W8" t="s">
        <v>72</v>
      </c>
      <c r="X8" t="s">
        <v>73</v>
      </c>
      <c r="Y8" t="s">
        <v>74</v>
      </c>
      <c r="Z8" t="s">
        <v>74</v>
      </c>
      <c r="AA8" s="2">
        <v>5.46</v>
      </c>
      <c r="AB8" s="3">
        <v>651090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5.62</v>
      </c>
      <c r="AJ8" s="3">
        <v>3656381.77</v>
      </c>
      <c r="AK8" s="3">
        <v>-101430.37</v>
      </c>
      <c r="AL8" s="4">
        <v>-2.77</v>
      </c>
      <c r="AM8" s="4">
        <v>0</v>
      </c>
      <c r="AN8" s="4">
        <v>0</v>
      </c>
      <c r="AO8" s="3">
        <v>-132876.70000000001</v>
      </c>
      <c r="AP8" s="4">
        <v>-3.63</v>
      </c>
      <c r="AQ8" s="3">
        <v>-31446.33</v>
      </c>
      <c r="AR8" s="4">
        <v>-0.86</v>
      </c>
      <c r="AS8" s="3">
        <v>3554951.4</v>
      </c>
      <c r="AT8" t="s">
        <v>75</v>
      </c>
      <c r="AU8" t="s">
        <v>76</v>
      </c>
      <c r="AV8" t="s">
        <v>77</v>
      </c>
      <c r="AW8" t="s">
        <v>71</v>
      </c>
      <c r="AX8" t="s">
        <v>71</v>
      </c>
      <c r="AY8" t="s">
        <v>71</v>
      </c>
      <c r="AZ8" t="s">
        <v>71</v>
      </c>
      <c r="BA8" t="s">
        <v>71</v>
      </c>
      <c r="BB8" t="s">
        <v>60</v>
      </c>
      <c r="BC8" s="3">
        <v>3656381.77</v>
      </c>
      <c r="BD8" s="3">
        <v>3656381.77</v>
      </c>
      <c r="BE8" s="4">
        <v>5.62</v>
      </c>
      <c r="BF8" s="4">
        <v>5.62</v>
      </c>
    </row>
    <row r="9" spans="1:58" x14ac:dyDescent="0.55000000000000004">
      <c r="A9" t="s">
        <v>57</v>
      </c>
      <c r="B9" t="s">
        <v>58</v>
      </c>
      <c r="C9" t="s">
        <v>59</v>
      </c>
      <c r="D9" t="s">
        <v>60</v>
      </c>
      <c r="E9" t="s">
        <v>61</v>
      </c>
      <c r="F9" t="s">
        <v>62</v>
      </c>
      <c r="G9" t="s">
        <v>63</v>
      </c>
      <c r="H9" t="s">
        <v>64</v>
      </c>
      <c r="I9" t="s">
        <v>65</v>
      </c>
      <c r="J9" t="s">
        <v>66</v>
      </c>
      <c r="K9" t="s">
        <v>67</v>
      </c>
      <c r="L9" t="s">
        <v>90</v>
      </c>
      <c r="M9" t="s">
        <v>91</v>
      </c>
      <c r="N9" t="str">
        <f>[1]!f_info_reitsoriginal(L9,1)</f>
        <v>招商局公路网络科技控股股份有限公司</v>
      </c>
      <c r="O9" t="s">
        <v>70</v>
      </c>
      <c r="P9" t="s">
        <v>71</v>
      </c>
      <c r="Q9" s="1">
        <v>1.8389</v>
      </c>
      <c r="R9" s="1">
        <v>1.8512</v>
      </c>
      <c r="S9" s="1">
        <v>1.9319999999999999</v>
      </c>
      <c r="T9" t="s">
        <v>71</v>
      </c>
      <c r="U9" t="s">
        <v>71</v>
      </c>
      <c r="V9" t="s">
        <v>71</v>
      </c>
      <c r="W9" t="s">
        <v>72</v>
      </c>
      <c r="X9" t="s">
        <v>73</v>
      </c>
      <c r="Y9" t="s">
        <v>74</v>
      </c>
      <c r="Z9" t="s">
        <v>74</v>
      </c>
      <c r="AA9" s="2">
        <v>7.4809999999999999</v>
      </c>
      <c r="AB9" s="3">
        <v>1231522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6.99</v>
      </c>
      <c r="AJ9" s="3">
        <v>8613414.5399999991</v>
      </c>
      <c r="AK9" s="3">
        <v>599601.54</v>
      </c>
      <c r="AL9" s="4">
        <v>6.96</v>
      </c>
      <c r="AM9" s="4">
        <v>0</v>
      </c>
      <c r="AN9" s="4">
        <v>0</v>
      </c>
      <c r="AO9" s="3">
        <v>575522.12</v>
      </c>
      <c r="AP9" s="4">
        <v>6.68</v>
      </c>
      <c r="AQ9" s="3">
        <v>-24079.42</v>
      </c>
      <c r="AR9" s="4">
        <v>-0.28000000000000003</v>
      </c>
      <c r="AS9" s="3">
        <v>9213016.0800000001</v>
      </c>
      <c r="AT9" t="s">
        <v>75</v>
      </c>
      <c r="AU9" t="s">
        <v>76</v>
      </c>
      <c r="AV9" t="s">
        <v>77</v>
      </c>
      <c r="AW9" t="s">
        <v>71</v>
      </c>
      <c r="AX9" t="s">
        <v>71</v>
      </c>
      <c r="AY9" t="s">
        <v>71</v>
      </c>
      <c r="AZ9" t="s">
        <v>71</v>
      </c>
      <c r="BA9" t="s">
        <v>71</v>
      </c>
      <c r="BB9" t="s">
        <v>60</v>
      </c>
      <c r="BC9" s="3">
        <v>8613414.5399999991</v>
      </c>
      <c r="BD9" s="3">
        <v>8613414.5399999991</v>
      </c>
      <c r="BE9" s="4">
        <v>6.99</v>
      </c>
      <c r="BF9" s="4">
        <v>6.99</v>
      </c>
    </row>
    <row r="10" spans="1:58" x14ac:dyDescent="0.55000000000000004">
      <c r="A10" t="s">
        <v>57</v>
      </c>
      <c r="B10" t="s">
        <v>58</v>
      </c>
      <c r="C10" t="s">
        <v>59</v>
      </c>
      <c r="D10" t="s">
        <v>60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92</v>
      </c>
      <c r="M10" t="s">
        <v>93</v>
      </c>
      <c r="N10" t="str">
        <f>[1]!f_info_reitsoriginal(L10,1)</f>
        <v>深圳港集团有限公司</v>
      </c>
      <c r="O10" t="s">
        <v>70</v>
      </c>
      <c r="P10" t="s">
        <v>71</v>
      </c>
      <c r="Q10" s="1">
        <v>1.1855</v>
      </c>
      <c r="R10" s="1">
        <v>1.1934</v>
      </c>
      <c r="S10" s="1">
        <v>1.2455000000000001</v>
      </c>
      <c r="T10" t="s">
        <v>71</v>
      </c>
      <c r="U10" t="s">
        <v>71</v>
      </c>
      <c r="V10" t="s">
        <v>71</v>
      </c>
      <c r="W10" t="s">
        <v>72</v>
      </c>
      <c r="X10" t="s">
        <v>73</v>
      </c>
      <c r="Y10" t="s">
        <v>74</v>
      </c>
      <c r="Z10" t="s">
        <v>74</v>
      </c>
      <c r="AA10" s="2">
        <v>2.3849999999999998</v>
      </c>
      <c r="AB10" s="3">
        <v>2490339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2.38</v>
      </c>
      <c r="AJ10" s="3">
        <v>5918694.6299999999</v>
      </c>
      <c r="AK10" s="3">
        <v>20763.89</v>
      </c>
      <c r="AL10" s="4">
        <v>0.35</v>
      </c>
      <c r="AM10" s="4">
        <v>0</v>
      </c>
      <c r="AN10" s="4">
        <v>0</v>
      </c>
      <c r="AO10" s="3">
        <v>143653.59</v>
      </c>
      <c r="AP10" s="4">
        <v>2.4300000000000002</v>
      </c>
      <c r="AQ10" s="3">
        <v>122889.7</v>
      </c>
      <c r="AR10" s="4">
        <v>2.08</v>
      </c>
      <c r="AS10" s="3">
        <v>5939458.5199999996</v>
      </c>
      <c r="AT10" t="s">
        <v>75</v>
      </c>
      <c r="AU10" t="s">
        <v>76</v>
      </c>
      <c r="AV10" t="s">
        <v>77</v>
      </c>
      <c r="AW10" t="s">
        <v>71</v>
      </c>
      <c r="AX10" t="s">
        <v>71</v>
      </c>
      <c r="AY10" t="s">
        <v>71</v>
      </c>
      <c r="AZ10" t="s">
        <v>71</v>
      </c>
      <c r="BA10" t="s">
        <v>71</v>
      </c>
      <c r="BB10" t="s">
        <v>60</v>
      </c>
      <c r="BC10" s="3">
        <v>5918694.6299999999</v>
      </c>
      <c r="BD10" s="3">
        <v>5918694.6299999999</v>
      </c>
      <c r="BE10" s="4">
        <v>2.38</v>
      </c>
      <c r="BF10" s="4">
        <v>2.38</v>
      </c>
    </row>
    <row r="11" spans="1:58" x14ac:dyDescent="0.55000000000000004">
      <c r="A11" t="s">
        <v>57</v>
      </c>
      <c r="B11" t="s">
        <v>58</v>
      </c>
      <c r="C11" t="s">
        <v>59</v>
      </c>
      <c r="D11" t="s">
        <v>60</v>
      </c>
      <c r="E11" t="s">
        <v>61</v>
      </c>
      <c r="F11" t="s">
        <v>62</v>
      </c>
      <c r="G11" t="s">
        <v>63</v>
      </c>
      <c r="H11" t="s">
        <v>64</v>
      </c>
      <c r="I11" t="s">
        <v>65</v>
      </c>
      <c r="J11" t="s">
        <v>66</v>
      </c>
      <c r="K11" t="s">
        <v>67</v>
      </c>
      <c r="L11" t="s">
        <v>94</v>
      </c>
      <c r="M11" t="s">
        <v>95</v>
      </c>
      <c r="N11" t="str">
        <f>[1]!f_info_reitsoriginal(L11,1)</f>
        <v>深圳市深国际物流发展有限公司</v>
      </c>
      <c r="O11" t="s">
        <v>70</v>
      </c>
      <c r="P11" t="s">
        <v>71</v>
      </c>
      <c r="Q11" s="1">
        <v>0.50509999999999999</v>
      </c>
      <c r="R11" s="1">
        <v>0.50849999999999995</v>
      </c>
      <c r="S11" s="1">
        <v>0.53069999999999995</v>
      </c>
      <c r="T11" t="s">
        <v>71</v>
      </c>
      <c r="U11" t="s">
        <v>71</v>
      </c>
      <c r="V11" t="s">
        <v>71</v>
      </c>
      <c r="W11" t="s">
        <v>72</v>
      </c>
      <c r="X11" t="s">
        <v>73</v>
      </c>
      <c r="Y11" t="s">
        <v>74</v>
      </c>
      <c r="Z11" t="s">
        <v>74</v>
      </c>
      <c r="AA11" s="2">
        <v>2.9729999999999999</v>
      </c>
      <c r="AB11" s="3">
        <v>851183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3.02</v>
      </c>
      <c r="AJ11" s="3">
        <v>2574295.2799999998</v>
      </c>
      <c r="AK11" s="3">
        <v>-43728.22</v>
      </c>
      <c r="AL11" s="4">
        <v>-1.7</v>
      </c>
      <c r="AM11" s="4">
        <v>0</v>
      </c>
      <c r="AN11" s="4">
        <v>0</v>
      </c>
      <c r="AO11" s="3">
        <v>-301550.59999999998</v>
      </c>
      <c r="AP11" s="4">
        <v>-11.71</v>
      </c>
      <c r="AQ11" s="3">
        <v>-257822.38</v>
      </c>
      <c r="AR11" s="4">
        <v>-10.02</v>
      </c>
      <c r="AS11" s="3">
        <v>2530567.06</v>
      </c>
      <c r="AT11" t="s">
        <v>75</v>
      </c>
      <c r="AU11" t="s">
        <v>76</v>
      </c>
      <c r="AV11" t="s">
        <v>77</v>
      </c>
      <c r="AW11" t="s">
        <v>71</v>
      </c>
      <c r="AX11" t="s">
        <v>71</v>
      </c>
      <c r="AY11" t="s">
        <v>71</v>
      </c>
      <c r="AZ11" t="s">
        <v>71</v>
      </c>
      <c r="BA11" t="s">
        <v>71</v>
      </c>
      <c r="BB11" t="s">
        <v>60</v>
      </c>
      <c r="BC11" s="3">
        <v>2574295.2799999998</v>
      </c>
      <c r="BD11" s="3">
        <v>2574295.2799999998</v>
      </c>
      <c r="BE11" s="4">
        <v>3.02</v>
      </c>
      <c r="BF11" s="4">
        <v>3.02</v>
      </c>
    </row>
    <row r="12" spans="1:58" x14ac:dyDescent="0.55000000000000004">
      <c r="A12" t="s">
        <v>57</v>
      </c>
      <c r="B12" t="s">
        <v>58</v>
      </c>
      <c r="C12" t="s">
        <v>59</v>
      </c>
      <c r="D12" t="s">
        <v>60</v>
      </c>
      <c r="E12" t="s">
        <v>61</v>
      </c>
      <c r="F12" t="s">
        <v>62</v>
      </c>
      <c r="G12" t="s">
        <v>63</v>
      </c>
      <c r="H12" t="s">
        <v>64</v>
      </c>
      <c r="I12" t="s">
        <v>65</v>
      </c>
      <c r="J12" t="s">
        <v>66</v>
      </c>
      <c r="K12" t="s">
        <v>67</v>
      </c>
      <c r="L12" t="s">
        <v>96</v>
      </c>
      <c r="M12" t="s">
        <v>97</v>
      </c>
      <c r="N12" t="str">
        <f>[1]!f_info_reitsoriginal(L12,1)</f>
        <v>嘉兴宝湾物流有限公司</v>
      </c>
      <c r="O12" t="s">
        <v>70</v>
      </c>
      <c r="P12" t="s">
        <v>71</v>
      </c>
      <c r="Q12" s="1">
        <v>2.0726</v>
      </c>
      <c r="R12" s="1">
        <v>2.0863</v>
      </c>
      <c r="S12" s="1">
        <v>2.1775000000000002</v>
      </c>
      <c r="T12" t="s">
        <v>71</v>
      </c>
      <c r="U12" t="s">
        <v>71</v>
      </c>
      <c r="V12" t="s">
        <v>71</v>
      </c>
      <c r="W12" t="s">
        <v>72</v>
      </c>
      <c r="X12" t="s">
        <v>73</v>
      </c>
      <c r="Y12" t="s">
        <v>74</v>
      </c>
      <c r="Z12" t="s">
        <v>74</v>
      </c>
      <c r="AA12" s="2">
        <v>4.1050000000000004</v>
      </c>
      <c r="AB12" s="3">
        <v>2529491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4.18</v>
      </c>
      <c r="AJ12" s="3">
        <v>10583776.1</v>
      </c>
      <c r="AK12" s="3">
        <v>-200215.54</v>
      </c>
      <c r="AL12" s="4">
        <v>-1.89</v>
      </c>
      <c r="AM12" s="4">
        <v>0</v>
      </c>
      <c r="AN12" s="4">
        <v>0</v>
      </c>
      <c r="AO12" s="3">
        <v>-198535.64</v>
      </c>
      <c r="AP12" s="4">
        <v>-1.88</v>
      </c>
      <c r="AQ12" s="3">
        <v>1679.9</v>
      </c>
      <c r="AR12" s="4">
        <v>0.02</v>
      </c>
      <c r="AS12" s="3">
        <v>10383560.560000001</v>
      </c>
      <c r="AT12" t="s">
        <v>75</v>
      </c>
      <c r="AU12" t="s">
        <v>76</v>
      </c>
      <c r="AV12" t="s">
        <v>77</v>
      </c>
      <c r="AW12" t="s">
        <v>71</v>
      </c>
      <c r="AX12" t="s">
        <v>71</v>
      </c>
      <c r="AY12" t="s">
        <v>71</v>
      </c>
      <c r="AZ12" t="s">
        <v>71</v>
      </c>
      <c r="BA12" t="s">
        <v>71</v>
      </c>
      <c r="BB12" t="s">
        <v>60</v>
      </c>
      <c r="BC12" s="3">
        <v>10583776.1</v>
      </c>
      <c r="BD12" s="3">
        <v>10583776.1</v>
      </c>
      <c r="BE12" s="4">
        <v>4.18</v>
      </c>
      <c r="BF12" s="4">
        <v>4.18</v>
      </c>
    </row>
    <row r="13" spans="1:58" x14ac:dyDescent="0.55000000000000004">
      <c r="A13" t="s">
        <v>57</v>
      </c>
      <c r="B13" t="s">
        <v>58</v>
      </c>
      <c r="C13" t="s">
        <v>59</v>
      </c>
      <c r="D13" t="s">
        <v>60</v>
      </c>
      <c r="E13" t="s">
        <v>61</v>
      </c>
      <c r="F13" t="s">
        <v>62</v>
      </c>
      <c r="G13" t="s">
        <v>63</v>
      </c>
      <c r="H13" t="s">
        <v>64</v>
      </c>
      <c r="I13" t="s">
        <v>65</v>
      </c>
      <c r="J13" t="s">
        <v>66</v>
      </c>
      <c r="K13" t="s">
        <v>67</v>
      </c>
      <c r="L13" t="s">
        <v>98</v>
      </c>
      <c r="M13" t="s">
        <v>99</v>
      </c>
      <c r="N13" t="str">
        <f>[1]!f_info_reitsoriginal(L13,1)</f>
        <v>深圳嘉丰产业园管理有限公司</v>
      </c>
      <c r="O13" t="s">
        <v>70</v>
      </c>
      <c r="P13" t="s">
        <v>71</v>
      </c>
      <c r="Q13" s="1">
        <v>1.9471000000000001</v>
      </c>
      <c r="R13" s="1">
        <v>1.96</v>
      </c>
      <c r="S13" s="1">
        <v>2.0455999999999999</v>
      </c>
      <c r="T13" t="s">
        <v>71</v>
      </c>
      <c r="U13" t="s">
        <v>71</v>
      </c>
      <c r="V13" t="s">
        <v>71</v>
      </c>
      <c r="W13" t="s">
        <v>72</v>
      </c>
      <c r="X13" t="s">
        <v>73</v>
      </c>
      <c r="Y13" t="s">
        <v>74</v>
      </c>
      <c r="Z13" t="s">
        <v>74</v>
      </c>
      <c r="AA13" s="2">
        <v>3.88</v>
      </c>
      <c r="AB13" s="3">
        <v>2514144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4.0999999999999996</v>
      </c>
      <c r="AJ13" s="3">
        <v>10309096.98</v>
      </c>
      <c r="AK13" s="3">
        <v>-554218.26</v>
      </c>
      <c r="AL13" s="4">
        <v>-5.38</v>
      </c>
      <c r="AM13" s="4">
        <v>0</v>
      </c>
      <c r="AN13" s="4">
        <v>0</v>
      </c>
      <c r="AO13" s="3">
        <v>-439765.58</v>
      </c>
      <c r="AP13" s="4">
        <v>-4.2699999999999996</v>
      </c>
      <c r="AQ13" s="3">
        <v>114452.68</v>
      </c>
      <c r="AR13" s="4">
        <v>1.1100000000000001</v>
      </c>
      <c r="AS13" s="3">
        <v>9754878.7200000007</v>
      </c>
      <c r="AT13" t="s">
        <v>75</v>
      </c>
      <c r="AU13" t="s">
        <v>76</v>
      </c>
      <c r="AV13" t="s">
        <v>77</v>
      </c>
      <c r="AW13" t="s">
        <v>71</v>
      </c>
      <c r="AX13" t="s">
        <v>71</v>
      </c>
      <c r="AY13" t="s">
        <v>71</v>
      </c>
      <c r="AZ13" t="s">
        <v>71</v>
      </c>
      <c r="BA13" t="s">
        <v>71</v>
      </c>
      <c r="BB13" t="s">
        <v>60</v>
      </c>
      <c r="BC13" s="3">
        <v>10309096.98</v>
      </c>
      <c r="BD13" s="3">
        <v>10309096.98</v>
      </c>
      <c r="BE13" s="4">
        <v>4.0999999999999996</v>
      </c>
      <c r="BF13" s="4">
        <v>4.0999999999999996</v>
      </c>
    </row>
    <row r="14" spans="1:58" x14ac:dyDescent="0.55000000000000004">
      <c r="A14" t="s">
        <v>57</v>
      </c>
      <c r="B14" t="s">
        <v>58</v>
      </c>
      <c r="C14" t="s">
        <v>59</v>
      </c>
      <c r="D14" t="s">
        <v>60</v>
      </c>
      <c r="E14" t="s">
        <v>61</v>
      </c>
      <c r="F14" t="s">
        <v>62</v>
      </c>
      <c r="G14" t="s">
        <v>63</v>
      </c>
      <c r="H14" t="s">
        <v>64</v>
      </c>
      <c r="I14" t="s">
        <v>65</v>
      </c>
      <c r="J14" t="s">
        <v>66</v>
      </c>
      <c r="K14" t="s">
        <v>67</v>
      </c>
      <c r="L14" t="s">
        <v>100</v>
      </c>
      <c r="M14" t="s">
        <v>101</v>
      </c>
      <c r="N14" t="str">
        <f>[1]!f_info_reitsoriginal(L14,1)</f>
        <v>深圳能源集团股份有限公司</v>
      </c>
      <c r="O14" t="s">
        <v>70</v>
      </c>
      <c r="P14" t="s">
        <v>71</v>
      </c>
      <c r="Q14" s="1">
        <v>0.2467</v>
      </c>
      <c r="R14" s="1">
        <v>0.24829999999999999</v>
      </c>
      <c r="S14" s="1">
        <v>0.2591</v>
      </c>
      <c r="T14" t="s">
        <v>71</v>
      </c>
      <c r="U14" t="s">
        <v>71</v>
      </c>
      <c r="V14" t="s">
        <v>71</v>
      </c>
      <c r="W14" t="s">
        <v>72</v>
      </c>
      <c r="X14" t="s">
        <v>73</v>
      </c>
      <c r="Y14" t="s">
        <v>74</v>
      </c>
      <c r="Z14" t="s">
        <v>74</v>
      </c>
      <c r="AA14" s="2">
        <v>5.4649999999999999</v>
      </c>
      <c r="AB14" s="3">
        <v>226122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5.63</v>
      </c>
      <c r="AJ14" s="3">
        <v>1273845.42</v>
      </c>
      <c r="AK14" s="3">
        <v>-38088.69</v>
      </c>
      <c r="AL14" s="4">
        <v>-2.99</v>
      </c>
      <c r="AM14" s="4">
        <v>0</v>
      </c>
      <c r="AN14" s="4">
        <v>0</v>
      </c>
      <c r="AO14" s="3">
        <v>-185409.07</v>
      </c>
      <c r="AP14" s="4">
        <v>-14.56</v>
      </c>
      <c r="AQ14" s="3">
        <v>-147320.38</v>
      </c>
      <c r="AR14" s="4">
        <v>-11.57</v>
      </c>
      <c r="AS14" s="3">
        <v>1235756.73</v>
      </c>
      <c r="AT14" t="s">
        <v>75</v>
      </c>
      <c r="AU14" t="s">
        <v>76</v>
      </c>
      <c r="AV14" t="s">
        <v>77</v>
      </c>
      <c r="AW14" t="s">
        <v>71</v>
      </c>
      <c r="AX14" t="s">
        <v>71</v>
      </c>
      <c r="AY14" t="s">
        <v>71</v>
      </c>
      <c r="AZ14" t="s">
        <v>71</v>
      </c>
      <c r="BA14" t="s">
        <v>71</v>
      </c>
      <c r="BB14" t="s">
        <v>60</v>
      </c>
      <c r="BC14" s="3">
        <v>1273845.42</v>
      </c>
      <c r="BD14" s="3">
        <v>1273845.42</v>
      </c>
      <c r="BE14" s="4">
        <v>5.63</v>
      </c>
      <c r="BF14" s="4">
        <v>5.63</v>
      </c>
    </row>
    <row r="15" spans="1:58" x14ac:dyDescent="0.55000000000000004">
      <c r="A15" t="s">
        <v>57</v>
      </c>
      <c r="B15" t="s">
        <v>58</v>
      </c>
      <c r="C15" t="s">
        <v>59</v>
      </c>
      <c r="D15" t="s">
        <v>60</v>
      </c>
      <c r="E15" t="s">
        <v>61</v>
      </c>
      <c r="F15" t="s">
        <v>62</v>
      </c>
      <c r="G15" t="s">
        <v>63</v>
      </c>
      <c r="H15" t="s">
        <v>64</v>
      </c>
      <c r="I15" t="s">
        <v>65</v>
      </c>
      <c r="J15" t="s">
        <v>66</v>
      </c>
      <c r="K15" t="s">
        <v>67</v>
      </c>
      <c r="L15" t="s">
        <v>102</v>
      </c>
      <c r="M15" t="s">
        <v>103</v>
      </c>
      <c r="N15" t="str">
        <f>[1]!f_info_reitsoriginal(L15,1)</f>
        <v>内蒙古电力勘测设计院有限责任公司</v>
      </c>
      <c r="O15" t="s">
        <v>70</v>
      </c>
      <c r="P15" t="s">
        <v>71</v>
      </c>
      <c r="Q15" s="1">
        <v>0.23719999999999999</v>
      </c>
      <c r="R15" s="1">
        <v>0.23880000000000001</v>
      </c>
      <c r="S15" s="1">
        <v>0.2492</v>
      </c>
      <c r="T15" t="s">
        <v>71</v>
      </c>
      <c r="U15" t="s">
        <v>71</v>
      </c>
      <c r="V15" t="s">
        <v>71</v>
      </c>
      <c r="W15" t="s">
        <v>72</v>
      </c>
      <c r="X15" t="s">
        <v>73</v>
      </c>
      <c r="Y15" t="s">
        <v>74</v>
      </c>
      <c r="Z15" t="s">
        <v>74</v>
      </c>
      <c r="AA15" s="2">
        <v>7.0289999999999999</v>
      </c>
      <c r="AB15" s="3">
        <v>169075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7.18</v>
      </c>
      <c r="AJ15" s="3">
        <v>1213450.49</v>
      </c>
      <c r="AK15" s="3">
        <v>-25022.31</v>
      </c>
      <c r="AL15" s="4">
        <v>-2.06</v>
      </c>
      <c r="AM15" s="4">
        <v>0</v>
      </c>
      <c r="AN15" s="4">
        <v>0</v>
      </c>
      <c r="AO15" s="3">
        <v>-213142.44</v>
      </c>
      <c r="AP15" s="4">
        <v>-17.559999999999999</v>
      </c>
      <c r="AQ15" s="3">
        <v>-188120.13</v>
      </c>
      <c r="AR15" s="4">
        <v>-15.5</v>
      </c>
      <c r="AS15" s="3">
        <v>1188428.18</v>
      </c>
      <c r="AT15" t="s">
        <v>75</v>
      </c>
      <c r="AU15" t="s">
        <v>76</v>
      </c>
      <c r="AV15" t="s">
        <v>77</v>
      </c>
      <c r="AW15" t="s">
        <v>71</v>
      </c>
      <c r="AX15" t="s">
        <v>71</v>
      </c>
      <c r="AY15" t="s">
        <v>71</v>
      </c>
      <c r="AZ15" t="s">
        <v>71</v>
      </c>
      <c r="BA15" t="s">
        <v>71</v>
      </c>
      <c r="BB15" t="s">
        <v>60</v>
      </c>
      <c r="BC15" s="3">
        <v>1213450.49</v>
      </c>
      <c r="BD15" s="3">
        <v>1213450.49</v>
      </c>
      <c r="BE15" s="4">
        <v>7.18</v>
      </c>
      <c r="BF15" s="4">
        <v>7.18</v>
      </c>
    </row>
    <row r="16" spans="1:58" x14ac:dyDescent="0.55000000000000004">
      <c r="A16" t="s">
        <v>57</v>
      </c>
      <c r="B16" t="s">
        <v>58</v>
      </c>
      <c r="C16" t="s">
        <v>59</v>
      </c>
      <c r="D16" t="s">
        <v>60</v>
      </c>
      <c r="E16" t="s">
        <v>61</v>
      </c>
      <c r="F16" t="s">
        <v>62</v>
      </c>
      <c r="G16" t="s">
        <v>63</v>
      </c>
      <c r="H16" t="s">
        <v>64</v>
      </c>
      <c r="I16" t="s">
        <v>65</v>
      </c>
      <c r="J16" t="s">
        <v>66</v>
      </c>
      <c r="K16" t="s">
        <v>67</v>
      </c>
      <c r="L16" t="s">
        <v>104</v>
      </c>
      <c r="M16" t="s">
        <v>105</v>
      </c>
      <c r="N16" t="str">
        <f>[1]!f_info_reitsoriginal(L16,1)</f>
        <v>深圳市安居集团有限公司</v>
      </c>
      <c r="O16" t="s">
        <v>70</v>
      </c>
      <c r="P16" t="s">
        <v>71</v>
      </c>
      <c r="Q16" s="1">
        <v>2.1358000000000001</v>
      </c>
      <c r="R16" s="1">
        <v>2.15</v>
      </c>
      <c r="S16" s="1">
        <v>2.2439</v>
      </c>
      <c r="T16" t="s">
        <v>71</v>
      </c>
      <c r="U16" t="s">
        <v>71</v>
      </c>
      <c r="V16" t="s">
        <v>71</v>
      </c>
      <c r="W16" t="s">
        <v>72</v>
      </c>
      <c r="X16" t="s">
        <v>73</v>
      </c>
      <c r="Y16" t="s">
        <v>74</v>
      </c>
      <c r="Z16" t="s">
        <v>74</v>
      </c>
      <c r="AA16" s="2">
        <v>3.35</v>
      </c>
      <c r="AB16" s="3">
        <v>3194171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3.49</v>
      </c>
      <c r="AJ16" s="3">
        <v>11163164.65</v>
      </c>
      <c r="AK16" s="3">
        <v>-462691.8</v>
      </c>
      <c r="AL16" s="4">
        <v>-4.1399999999999997</v>
      </c>
      <c r="AM16" s="4">
        <v>0</v>
      </c>
      <c r="AN16" s="4">
        <v>0</v>
      </c>
      <c r="AO16" s="3">
        <v>-573882.55000000005</v>
      </c>
      <c r="AP16" s="4">
        <v>-5.14</v>
      </c>
      <c r="AQ16" s="3">
        <v>-111190.75</v>
      </c>
      <c r="AR16" s="4">
        <v>-1</v>
      </c>
      <c r="AS16" s="3">
        <v>10700472.85</v>
      </c>
      <c r="AT16" t="s">
        <v>75</v>
      </c>
      <c r="AU16" t="s">
        <v>76</v>
      </c>
      <c r="AV16" t="s">
        <v>77</v>
      </c>
      <c r="AW16" t="s">
        <v>71</v>
      </c>
      <c r="AX16" t="s">
        <v>71</v>
      </c>
      <c r="AY16" t="s">
        <v>71</v>
      </c>
      <c r="AZ16" t="s">
        <v>71</v>
      </c>
      <c r="BA16" t="s">
        <v>71</v>
      </c>
      <c r="BB16" t="s">
        <v>60</v>
      </c>
      <c r="BC16" s="3">
        <v>11163164.65</v>
      </c>
      <c r="BD16" s="3">
        <v>11163164.65</v>
      </c>
      <c r="BE16" s="4">
        <v>3.49</v>
      </c>
      <c r="BF16" s="4">
        <v>3.49</v>
      </c>
    </row>
    <row r="17" spans="1:58" x14ac:dyDescent="0.55000000000000004">
      <c r="A17" t="s">
        <v>57</v>
      </c>
      <c r="B17" t="s">
        <v>58</v>
      </c>
      <c r="C17" t="s">
        <v>59</v>
      </c>
      <c r="D17" t="s">
        <v>60</v>
      </c>
      <c r="E17" t="s">
        <v>61</v>
      </c>
      <c r="F17" t="s">
        <v>62</v>
      </c>
      <c r="G17" t="s">
        <v>63</v>
      </c>
      <c r="H17" t="s">
        <v>64</v>
      </c>
      <c r="I17" t="s">
        <v>65</v>
      </c>
      <c r="J17" t="s">
        <v>66</v>
      </c>
      <c r="K17" t="s">
        <v>67</v>
      </c>
      <c r="L17" t="s">
        <v>106</v>
      </c>
      <c r="M17" t="s">
        <v>107</v>
      </c>
      <c r="N17" t="str">
        <f>[1]!f_info_reitsoriginal(L17,1)</f>
        <v>深圳市招商公寓发展有限公司</v>
      </c>
      <c r="O17" t="s">
        <v>70</v>
      </c>
      <c r="P17" t="s">
        <v>71</v>
      </c>
      <c r="Q17" s="1">
        <v>3.2896999999999998</v>
      </c>
      <c r="R17" s="1">
        <v>3.3115999999999999</v>
      </c>
      <c r="S17" s="1">
        <v>3.4561999999999999</v>
      </c>
      <c r="T17" t="s">
        <v>71</v>
      </c>
      <c r="U17" t="s">
        <v>71</v>
      </c>
      <c r="V17" t="s">
        <v>71</v>
      </c>
      <c r="W17" t="s">
        <v>72</v>
      </c>
      <c r="X17" t="s">
        <v>73</v>
      </c>
      <c r="Y17" t="s">
        <v>74</v>
      </c>
      <c r="Z17" t="s">
        <v>74</v>
      </c>
      <c r="AA17" s="2">
        <v>3.577</v>
      </c>
      <c r="AB17" s="3">
        <v>4607643</v>
      </c>
      <c r="AC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4">
        <v>3.58</v>
      </c>
      <c r="AJ17" s="3">
        <v>16492080.98</v>
      </c>
      <c r="AK17" s="3">
        <v>-10541.97</v>
      </c>
      <c r="AL17" s="4">
        <v>-0.06</v>
      </c>
      <c r="AM17" s="4">
        <v>0</v>
      </c>
      <c r="AN17" s="4">
        <v>0</v>
      </c>
      <c r="AO17" s="3">
        <v>488973.09</v>
      </c>
      <c r="AP17" s="4">
        <v>2.96</v>
      </c>
      <c r="AQ17" s="3">
        <v>499515.06</v>
      </c>
      <c r="AR17" s="4">
        <v>3.03</v>
      </c>
      <c r="AS17" s="3">
        <v>16481539.01</v>
      </c>
      <c r="AT17" t="s">
        <v>75</v>
      </c>
      <c r="AU17" t="s">
        <v>76</v>
      </c>
      <c r="AV17" t="s">
        <v>77</v>
      </c>
      <c r="AW17" t="s">
        <v>71</v>
      </c>
      <c r="AX17" t="s">
        <v>71</v>
      </c>
      <c r="AY17" t="s">
        <v>71</v>
      </c>
      <c r="AZ17" t="s">
        <v>71</v>
      </c>
      <c r="BA17" t="s">
        <v>71</v>
      </c>
      <c r="BB17" t="s">
        <v>60</v>
      </c>
      <c r="BC17" s="3">
        <v>16492080.98</v>
      </c>
      <c r="BD17" s="3">
        <v>16492080.98</v>
      </c>
      <c r="BE17" s="4">
        <v>3.58</v>
      </c>
      <c r="BF17" s="4">
        <v>3.58</v>
      </c>
    </row>
    <row r="18" spans="1:58" x14ac:dyDescent="0.55000000000000004">
      <c r="A18" t="s">
        <v>57</v>
      </c>
      <c r="B18" t="s">
        <v>58</v>
      </c>
      <c r="C18" t="s">
        <v>59</v>
      </c>
      <c r="D18" t="s">
        <v>60</v>
      </c>
      <c r="E18" t="s">
        <v>61</v>
      </c>
      <c r="F18" t="s">
        <v>62</v>
      </c>
      <c r="G18" t="s">
        <v>63</v>
      </c>
      <c r="H18" t="s">
        <v>64</v>
      </c>
      <c r="I18" t="s">
        <v>65</v>
      </c>
      <c r="J18" t="s">
        <v>66</v>
      </c>
      <c r="K18" t="s">
        <v>67</v>
      </c>
      <c r="L18" t="s">
        <v>108</v>
      </c>
      <c r="M18" t="s">
        <v>109</v>
      </c>
      <c r="N18" t="str">
        <f>[1]!f_info_reitsoriginal(L18,1)</f>
        <v>华润商业资产控股有限公司</v>
      </c>
      <c r="O18" t="s">
        <v>70</v>
      </c>
      <c r="P18" t="s">
        <v>71</v>
      </c>
      <c r="Q18" s="1">
        <v>3.8529</v>
      </c>
      <c r="R18" s="1">
        <v>3.8786</v>
      </c>
      <c r="S18" s="1">
        <v>4.048</v>
      </c>
      <c r="T18" t="s">
        <v>71</v>
      </c>
      <c r="U18" t="s">
        <v>71</v>
      </c>
      <c r="V18" t="s">
        <v>71</v>
      </c>
      <c r="W18" t="s">
        <v>72</v>
      </c>
      <c r="X18" t="s">
        <v>73</v>
      </c>
      <c r="Y18" t="s">
        <v>74</v>
      </c>
      <c r="Z18" t="s">
        <v>74</v>
      </c>
      <c r="AA18" s="2">
        <v>10.047000000000001</v>
      </c>
      <c r="AB18" s="3">
        <v>1921300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10.08</v>
      </c>
      <c r="AJ18" s="3">
        <v>19372843.600000001</v>
      </c>
      <c r="AK18" s="3">
        <v>-69542.5</v>
      </c>
      <c r="AL18" s="4">
        <v>-0.36</v>
      </c>
      <c r="AM18" s="4">
        <v>0</v>
      </c>
      <c r="AN18" s="4">
        <v>0</v>
      </c>
      <c r="AO18" s="3">
        <v>130477.52</v>
      </c>
      <c r="AP18" s="4">
        <v>0.67</v>
      </c>
      <c r="AQ18" s="3">
        <v>200020.02</v>
      </c>
      <c r="AR18" s="4">
        <v>1.03</v>
      </c>
      <c r="AS18" s="3">
        <v>19303301.100000001</v>
      </c>
      <c r="AT18" t="s">
        <v>75</v>
      </c>
      <c r="AU18" t="s">
        <v>76</v>
      </c>
      <c r="AV18" t="s">
        <v>77</v>
      </c>
      <c r="AW18" t="s">
        <v>71</v>
      </c>
      <c r="AX18" t="s">
        <v>71</v>
      </c>
      <c r="AY18" t="s">
        <v>71</v>
      </c>
      <c r="AZ18" t="s">
        <v>71</v>
      </c>
      <c r="BA18" t="s">
        <v>71</v>
      </c>
      <c r="BB18" t="s">
        <v>60</v>
      </c>
      <c r="BC18" s="3">
        <v>19372843.600000001</v>
      </c>
      <c r="BD18" s="3">
        <v>19372843.600000001</v>
      </c>
      <c r="BE18" s="4">
        <v>10.08</v>
      </c>
      <c r="BF18" s="4">
        <v>10.08</v>
      </c>
    </row>
    <row r="19" spans="1:58" x14ac:dyDescent="0.55000000000000004">
      <c r="A19" t="s">
        <v>57</v>
      </c>
      <c r="B19" t="s">
        <v>58</v>
      </c>
      <c r="C19" t="s">
        <v>59</v>
      </c>
      <c r="D19" t="s">
        <v>60</v>
      </c>
      <c r="E19" t="s">
        <v>61</v>
      </c>
      <c r="F19" t="s">
        <v>62</v>
      </c>
      <c r="G19" t="s">
        <v>63</v>
      </c>
      <c r="H19" t="s">
        <v>64</v>
      </c>
      <c r="I19" t="s">
        <v>65</v>
      </c>
      <c r="J19" t="s">
        <v>66</v>
      </c>
      <c r="K19" t="s">
        <v>67</v>
      </c>
      <c r="L19" t="s">
        <v>110</v>
      </c>
      <c r="M19" t="s">
        <v>111</v>
      </c>
      <c r="N19" t="str">
        <f>[1]!f_info_reitsoriginal(L19,1)</f>
        <v>印力商用置业有限公司</v>
      </c>
      <c r="O19" t="s">
        <v>70</v>
      </c>
      <c r="P19" t="s">
        <v>71</v>
      </c>
      <c r="Q19" s="1">
        <v>2.4359000000000002</v>
      </c>
      <c r="R19" s="1">
        <v>2.4521000000000002</v>
      </c>
      <c r="S19" s="1">
        <v>2.5592000000000001</v>
      </c>
      <c r="T19" t="s">
        <v>71</v>
      </c>
      <c r="U19" t="s">
        <v>71</v>
      </c>
      <c r="V19" t="s">
        <v>71</v>
      </c>
      <c r="W19" t="s">
        <v>72</v>
      </c>
      <c r="X19" t="s">
        <v>73</v>
      </c>
      <c r="Y19" t="s">
        <v>74</v>
      </c>
      <c r="Z19" t="s">
        <v>74</v>
      </c>
      <c r="AA19" s="2">
        <v>4.1660000000000004</v>
      </c>
      <c r="AB19" s="3">
        <v>2929400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4.29</v>
      </c>
      <c r="AJ19" s="3">
        <v>12558121.23</v>
      </c>
      <c r="AK19" s="3">
        <v>-354240.83</v>
      </c>
      <c r="AL19" s="4">
        <v>-2.82</v>
      </c>
      <c r="AM19" s="4">
        <v>0</v>
      </c>
      <c r="AN19" s="4">
        <v>0</v>
      </c>
      <c r="AO19" s="3">
        <v>-391629.91</v>
      </c>
      <c r="AP19" s="4">
        <v>-3.12</v>
      </c>
      <c r="AQ19" s="3">
        <v>-37389.08</v>
      </c>
      <c r="AR19" s="4">
        <v>-0.3</v>
      </c>
      <c r="AS19" s="3">
        <v>12203880.4</v>
      </c>
      <c r="AT19" t="s">
        <v>75</v>
      </c>
      <c r="AU19" t="s">
        <v>76</v>
      </c>
      <c r="AV19" t="s">
        <v>77</v>
      </c>
      <c r="AW19" t="s">
        <v>71</v>
      </c>
      <c r="AX19" t="s">
        <v>71</v>
      </c>
      <c r="AY19" t="s">
        <v>71</v>
      </c>
      <c r="AZ19" t="s">
        <v>71</v>
      </c>
      <c r="BA19" t="s">
        <v>71</v>
      </c>
      <c r="BB19" t="s">
        <v>60</v>
      </c>
      <c r="BC19" s="3">
        <v>12558121.23</v>
      </c>
      <c r="BD19" s="3">
        <v>12558121.23</v>
      </c>
      <c r="BE19" s="4">
        <v>4.29</v>
      </c>
      <c r="BF19" s="4">
        <v>4.29</v>
      </c>
    </row>
    <row r="20" spans="1:58" x14ac:dyDescent="0.55000000000000004">
      <c r="A20" t="s">
        <v>57</v>
      </c>
      <c r="B20" t="s">
        <v>58</v>
      </c>
      <c r="C20" t="s">
        <v>59</v>
      </c>
      <c r="D20" t="s">
        <v>60</v>
      </c>
      <c r="E20" t="s">
        <v>61</v>
      </c>
      <c r="F20" t="s">
        <v>62</v>
      </c>
      <c r="G20" t="s">
        <v>63</v>
      </c>
      <c r="H20" t="s">
        <v>64</v>
      </c>
      <c r="I20" t="s">
        <v>65</v>
      </c>
      <c r="J20" t="s">
        <v>66</v>
      </c>
      <c r="K20" t="s">
        <v>67</v>
      </c>
      <c r="L20" t="s">
        <v>112</v>
      </c>
      <c r="M20" t="s">
        <v>113</v>
      </c>
      <c r="N20" t="str">
        <f>[1]!f_info_reitsoriginal(L20,1)</f>
        <v>卓远地产(成都)有限公司</v>
      </c>
      <c r="O20" t="s">
        <v>70</v>
      </c>
      <c r="P20" t="s">
        <v>71</v>
      </c>
      <c r="Q20" s="1">
        <v>1.8535999999999999</v>
      </c>
      <c r="R20" s="1">
        <v>1.8658999999999999</v>
      </c>
      <c r="S20" s="1">
        <v>1.9474</v>
      </c>
      <c r="T20" t="s">
        <v>71</v>
      </c>
      <c r="U20" t="s">
        <v>71</v>
      </c>
      <c r="V20" t="s">
        <v>71</v>
      </c>
      <c r="W20" t="s">
        <v>72</v>
      </c>
      <c r="X20" t="s">
        <v>73</v>
      </c>
      <c r="Y20" t="s">
        <v>74</v>
      </c>
      <c r="Z20" t="s">
        <v>74</v>
      </c>
      <c r="AA20" s="2">
        <v>4.6920000000000002</v>
      </c>
      <c r="AB20" s="3">
        <v>1979200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4.8099999999999996</v>
      </c>
      <c r="AJ20" s="3">
        <v>9510094.0199999996</v>
      </c>
      <c r="AK20" s="3">
        <v>-223687.62</v>
      </c>
      <c r="AL20" s="4">
        <v>-2.35</v>
      </c>
      <c r="AM20" s="4">
        <v>0</v>
      </c>
      <c r="AN20" s="4">
        <v>0</v>
      </c>
      <c r="AO20" s="3">
        <v>-122340.94</v>
      </c>
      <c r="AP20" s="4">
        <v>-1.29</v>
      </c>
      <c r="AQ20" s="3">
        <v>101346.68</v>
      </c>
      <c r="AR20" s="4">
        <v>1.07</v>
      </c>
      <c r="AS20" s="3">
        <v>9286406.4000000004</v>
      </c>
      <c r="AT20" t="s">
        <v>75</v>
      </c>
      <c r="AU20" t="s">
        <v>76</v>
      </c>
      <c r="AV20" t="s">
        <v>77</v>
      </c>
      <c r="AW20" t="s">
        <v>71</v>
      </c>
      <c r="AX20" t="s">
        <v>71</v>
      </c>
      <c r="AY20" t="s">
        <v>71</v>
      </c>
      <c r="AZ20" t="s">
        <v>71</v>
      </c>
      <c r="BA20" t="s">
        <v>71</v>
      </c>
      <c r="BB20" t="s">
        <v>60</v>
      </c>
      <c r="BC20" s="3">
        <v>9510094.0199999996</v>
      </c>
      <c r="BD20" s="3">
        <v>9510094.0199999996</v>
      </c>
      <c r="BE20" s="4">
        <v>4.8099999999999996</v>
      </c>
      <c r="BF20" s="4">
        <v>4.8099999999999996</v>
      </c>
    </row>
    <row r="21" spans="1:58" x14ac:dyDescent="0.55000000000000004">
      <c r="A21" t="s">
        <v>57</v>
      </c>
      <c r="B21" t="s">
        <v>58</v>
      </c>
      <c r="C21" t="s">
        <v>59</v>
      </c>
      <c r="D21" t="s">
        <v>60</v>
      </c>
      <c r="E21" t="s">
        <v>61</v>
      </c>
      <c r="F21" t="s">
        <v>62</v>
      </c>
      <c r="G21" t="s">
        <v>63</v>
      </c>
      <c r="H21" t="s">
        <v>64</v>
      </c>
      <c r="I21" t="s">
        <v>65</v>
      </c>
      <c r="J21" t="s">
        <v>66</v>
      </c>
      <c r="K21" t="s">
        <v>67</v>
      </c>
      <c r="L21" t="s">
        <v>114</v>
      </c>
      <c r="M21" t="s">
        <v>115</v>
      </c>
      <c r="N21" t="str">
        <f>[1]!f_info_reitsoriginal(L21,1)</f>
        <v>福建华威农商(集团)有限公司</v>
      </c>
      <c r="O21" t="s">
        <v>70</v>
      </c>
      <c r="P21" t="s">
        <v>71</v>
      </c>
      <c r="Q21" s="1">
        <v>1.4814000000000001</v>
      </c>
      <c r="R21" s="1">
        <v>1.4913000000000001</v>
      </c>
      <c r="S21" s="1">
        <v>1.5564</v>
      </c>
      <c r="T21" t="s">
        <v>71</v>
      </c>
      <c r="U21" t="s">
        <v>71</v>
      </c>
      <c r="V21" t="s">
        <v>71</v>
      </c>
      <c r="W21" t="s">
        <v>72</v>
      </c>
      <c r="X21" t="s">
        <v>73</v>
      </c>
      <c r="Y21" t="s">
        <v>74</v>
      </c>
      <c r="Z21" t="s">
        <v>74</v>
      </c>
      <c r="AA21" s="2">
        <v>5.0469999999999997</v>
      </c>
      <c r="AB21" s="3">
        <v>1470550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5.1100000000000003</v>
      </c>
      <c r="AJ21" s="3">
        <v>7518003.3700000001</v>
      </c>
      <c r="AK21" s="3">
        <v>-96137.52</v>
      </c>
      <c r="AL21" s="4">
        <v>-1.28</v>
      </c>
      <c r="AM21" s="4">
        <v>0</v>
      </c>
      <c r="AN21" s="4">
        <v>0</v>
      </c>
      <c r="AO21" s="3">
        <v>-126358.09</v>
      </c>
      <c r="AP21" s="4">
        <v>-1.68</v>
      </c>
      <c r="AQ21" s="3">
        <v>-30220.57</v>
      </c>
      <c r="AR21" s="4">
        <v>-0.4</v>
      </c>
      <c r="AS21" s="3">
        <v>7421865.8499999996</v>
      </c>
      <c r="AT21" t="s">
        <v>75</v>
      </c>
      <c r="AU21" t="s">
        <v>76</v>
      </c>
      <c r="AV21" t="s">
        <v>77</v>
      </c>
      <c r="AW21" t="s">
        <v>71</v>
      </c>
      <c r="AX21" t="s">
        <v>71</v>
      </c>
      <c r="AY21" t="s">
        <v>71</v>
      </c>
      <c r="AZ21" t="s">
        <v>71</v>
      </c>
      <c r="BA21" t="s">
        <v>71</v>
      </c>
      <c r="BB21" t="s">
        <v>60</v>
      </c>
      <c r="BC21" s="3">
        <v>7518003.3700000001</v>
      </c>
      <c r="BD21" s="3">
        <v>7518003.3700000001</v>
      </c>
      <c r="BE21" s="4">
        <v>5.1100000000000003</v>
      </c>
      <c r="BF21" s="4">
        <v>5.1100000000000003</v>
      </c>
    </row>
    <row r="22" spans="1:58" x14ac:dyDescent="0.55000000000000004">
      <c r="A22" t="s">
        <v>57</v>
      </c>
      <c r="B22" t="s">
        <v>58</v>
      </c>
      <c r="C22" t="s">
        <v>59</v>
      </c>
      <c r="D22" t="s">
        <v>60</v>
      </c>
      <c r="E22" t="s">
        <v>61</v>
      </c>
      <c r="F22" t="s">
        <v>62</v>
      </c>
      <c r="G22" t="s">
        <v>63</v>
      </c>
      <c r="H22" t="s">
        <v>64</v>
      </c>
      <c r="I22" t="s">
        <v>65</v>
      </c>
      <c r="J22" t="s">
        <v>66</v>
      </c>
      <c r="K22" t="s">
        <v>67</v>
      </c>
      <c r="L22" t="s">
        <v>116</v>
      </c>
      <c r="M22" t="s">
        <v>117</v>
      </c>
      <c r="N22" t="str">
        <f>[1]!f_info_reitsoriginal(L22,1)</f>
        <v>山东绿发商业管理有限公司</v>
      </c>
      <c r="O22" t="s">
        <v>70</v>
      </c>
      <c r="P22" t="s">
        <v>71</v>
      </c>
      <c r="Q22" s="1">
        <v>0.60470000000000002</v>
      </c>
      <c r="R22" s="1">
        <v>0.60870000000000002</v>
      </c>
      <c r="S22" s="1">
        <v>0.63529999999999998</v>
      </c>
      <c r="T22" t="s">
        <v>71</v>
      </c>
      <c r="U22" t="s">
        <v>71</v>
      </c>
      <c r="V22" t="s">
        <v>71</v>
      </c>
      <c r="W22" t="s">
        <v>72</v>
      </c>
      <c r="X22" t="s">
        <v>73</v>
      </c>
      <c r="Y22" t="s">
        <v>74</v>
      </c>
      <c r="Z22" t="s">
        <v>74</v>
      </c>
      <c r="AA22" s="2">
        <v>4.0730000000000004</v>
      </c>
      <c r="AB22" s="3">
        <v>743845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4.13</v>
      </c>
      <c r="AJ22" s="3">
        <v>3072388.28</v>
      </c>
      <c r="AK22" s="3">
        <v>-42707.59</v>
      </c>
      <c r="AL22" s="4">
        <v>-1.39</v>
      </c>
      <c r="AM22" s="4">
        <v>0</v>
      </c>
      <c r="AN22" s="4">
        <v>0</v>
      </c>
      <c r="AO22" s="3">
        <v>-3710.45</v>
      </c>
      <c r="AP22" s="4">
        <v>-0.12</v>
      </c>
      <c r="AQ22" s="3">
        <v>38997.14</v>
      </c>
      <c r="AR22" s="4">
        <v>1.27</v>
      </c>
      <c r="AS22" s="3">
        <v>3029680.69</v>
      </c>
      <c r="AT22" t="s">
        <v>75</v>
      </c>
      <c r="AU22" t="s">
        <v>76</v>
      </c>
      <c r="AV22" t="s">
        <v>77</v>
      </c>
      <c r="AW22" t="s">
        <v>71</v>
      </c>
      <c r="AX22" t="s">
        <v>71</v>
      </c>
      <c r="AY22" t="s">
        <v>71</v>
      </c>
      <c r="AZ22" t="s">
        <v>71</v>
      </c>
      <c r="BA22" t="s">
        <v>71</v>
      </c>
      <c r="BB22" t="s">
        <v>60</v>
      </c>
      <c r="BC22" s="3">
        <v>3072388.28</v>
      </c>
      <c r="BD22" s="3">
        <v>3072388.28</v>
      </c>
      <c r="BE22" s="4">
        <v>4.13</v>
      </c>
      <c r="BF22" s="4">
        <v>4.13</v>
      </c>
    </row>
    <row r="23" spans="1:58" x14ac:dyDescent="0.55000000000000004">
      <c r="A23" t="s">
        <v>57</v>
      </c>
      <c r="B23" t="s">
        <v>58</v>
      </c>
      <c r="C23" t="s">
        <v>59</v>
      </c>
      <c r="D23" t="s">
        <v>60</v>
      </c>
      <c r="E23" t="s">
        <v>61</v>
      </c>
      <c r="F23" t="s">
        <v>62</v>
      </c>
      <c r="G23" t="s">
        <v>63</v>
      </c>
      <c r="H23" t="s">
        <v>64</v>
      </c>
      <c r="I23" t="s">
        <v>65</v>
      </c>
      <c r="J23" t="s">
        <v>66</v>
      </c>
      <c r="K23" t="s">
        <v>67</v>
      </c>
      <c r="L23" t="s">
        <v>118</v>
      </c>
      <c r="M23" t="s">
        <v>119</v>
      </c>
      <c r="N23" t="str">
        <f>[1]!f_info_reitsoriginal(L23,1)</f>
        <v>中海环宇商业发展(深圳)有限公司</v>
      </c>
      <c r="O23" t="s">
        <v>70</v>
      </c>
      <c r="P23" t="s">
        <v>71</v>
      </c>
      <c r="Q23" s="1">
        <v>0.3664</v>
      </c>
      <c r="R23" s="1">
        <v>0.36880000000000002</v>
      </c>
      <c r="S23" s="1">
        <v>0.38490000000000002</v>
      </c>
      <c r="T23" t="s">
        <v>71</v>
      </c>
      <c r="U23" t="s">
        <v>71</v>
      </c>
      <c r="V23" t="s">
        <v>71</v>
      </c>
      <c r="W23" t="s">
        <v>72</v>
      </c>
      <c r="X23" t="s">
        <v>73</v>
      </c>
      <c r="Y23" t="s">
        <v>74</v>
      </c>
      <c r="Z23" t="s">
        <v>74</v>
      </c>
      <c r="AA23" s="2">
        <v>5.774</v>
      </c>
      <c r="AB23" s="3">
        <v>317907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5.82</v>
      </c>
      <c r="AJ23" s="3">
        <v>1850491.11</v>
      </c>
      <c r="AK23" s="3">
        <v>-14896.09</v>
      </c>
      <c r="AL23" s="4">
        <v>-0.8</v>
      </c>
      <c r="AM23" s="4">
        <v>0</v>
      </c>
      <c r="AN23" s="4">
        <v>0</v>
      </c>
      <c r="AO23" s="3">
        <v>25055.26</v>
      </c>
      <c r="AP23" s="4">
        <v>1.35</v>
      </c>
      <c r="AQ23" s="3">
        <v>39951.35</v>
      </c>
      <c r="AR23" s="4">
        <v>2.16</v>
      </c>
      <c r="AS23" s="3">
        <v>1835595.02</v>
      </c>
      <c r="AT23" t="s">
        <v>75</v>
      </c>
      <c r="AU23" t="s">
        <v>76</v>
      </c>
      <c r="AV23" t="s">
        <v>77</v>
      </c>
      <c r="AW23" t="s">
        <v>71</v>
      </c>
      <c r="AX23" t="s">
        <v>71</v>
      </c>
      <c r="AY23" t="s">
        <v>71</v>
      </c>
      <c r="AZ23" t="s">
        <v>71</v>
      </c>
      <c r="BA23" t="s">
        <v>71</v>
      </c>
      <c r="BB23" t="s">
        <v>60</v>
      </c>
      <c r="BC23" s="3">
        <v>1850491.11</v>
      </c>
      <c r="BD23" s="3">
        <v>1850491.11</v>
      </c>
      <c r="BE23" s="4">
        <v>5.82</v>
      </c>
      <c r="BF23" s="4">
        <v>5.82</v>
      </c>
    </row>
    <row r="24" spans="1:58" x14ac:dyDescent="0.55000000000000004">
      <c r="A24" t="s">
        <v>57</v>
      </c>
      <c r="B24" t="s">
        <v>58</v>
      </c>
      <c r="C24" t="s">
        <v>59</v>
      </c>
      <c r="D24" t="s">
        <v>60</v>
      </c>
      <c r="E24" t="s">
        <v>61</v>
      </c>
      <c r="F24" t="s">
        <v>62</v>
      </c>
      <c r="G24" t="s">
        <v>63</v>
      </c>
      <c r="H24" t="s">
        <v>64</v>
      </c>
      <c r="I24" t="s">
        <v>65</v>
      </c>
      <c r="J24" t="s">
        <v>66</v>
      </c>
      <c r="K24" t="s">
        <v>67</v>
      </c>
      <c r="L24" t="s">
        <v>120</v>
      </c>
      <c r="M24" t="s">
        <v>121</v>
      </c>
      <c r="N24" t="str">
        <f>[1]!f_info_reitsoriginal(L24,1)</f>
        <v>绍兴柯桥水务集团有限公司</v>
      </c>
      <c r="O24" t="s">
        <v>70</v>
      </c>
      <c r="P24" t="s">
        <v>71</v>
      </c>
      <c r="Q24" s="1">
        <v>3.0390999999999999</v>
      </c>
      <c r="R24" s="1">
        <v>3.0592999999999999</v>
      </c>
      <c r="S24" s="1">
        <v>3.1928999999999998</v>
      </c>
      <c r="T24" t="s">
        <v>71</v>
      </c>
      <c r="U24" t="s">
        <v>71</v>
      </c>
      <c r="V24" t="s">
        <v>71</v>
      </c>
      <c r="W24" t="s">
        <v>72</v>
      </c>
      <c r="X24" t="s">
        <v>73</v>
      </c>
      <c r="Y24" t="s">
        <v>74</v>
      </c>
      <c r="Z24" t="s">
        <v>74</v>
      </c>
      <c r="AA24" s="2">
        <v>3.8719999999999999</v>
      </c>
      <c r="AB24" s="3">
        <v>3932315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4.0999999999999996</v>
      </c>
      <c r="AJ24" s="3">
        <v>16138827.699999999</v>
      </c>
      <c r="AK24" s="3">
        <v>-912904.02</v>
      </c>
      <c r="AL24" s="4">
        <v>-5.66</v>
      </c>
      <c r="AM24" s="4">
        <v>0</v>
      </c>
      <c r="AN24" s="4">
        <v>0</v>
      </c>
      <c r="AO24" s="3">
        <v>-925428.54</v>
      </c>
      <c r="AP24" s="4">
        <v>-5.73</v>
      </c>
      <c r="AQ24" s="3">
        <v>-12524.52</v>
      </c>
      <c r="AR24" s="4">
        <v>-0.08</v>
      </c>
      <c r="AS24" s="3">
        <v>15225923.68</v>
      </c>
      <c r="AT24" t="s">
        <v>75</v>
      </c>
      <c r="AU24" t="s">
        <v>76</v>
      </c>
      <c r="AV24" t="s">
        <v>77</v>
      </c>
      <c r="AW24" t="s">
        <v>71</v>
      </c>
      <c r="AX24" t="s">
        <v>71</v>
      </c>
      <c r="AY24" t="s">
        <v>71</v>
      </c>
      <c r="AZ24" t="s">
        <v>71</v>
      </c>
      <c r="BA24" t="s">
        <v>71</v>
      </c>
      <c r="BB24" t="s">
        <v>60</v>
      </c>
      <c r="BC24" s="3">
        <v>16138827.699999999</v>
      </c>
      <c r="BD24" s="3">
        <v>16138827.699999999</v>
      </c>
      <c r="BE24" s="4">
        <v>4.0999999999999996</v>
      </c>
      <c r="BF24" s="4">
        <v>4.0999999999999996</v>
      </c>
    </row>
    <row r="25" spans="1:58" x14ac:dyDescent="0.55000000000000004">
      <c r="A25" t="s">
        <v>57</v>
      </c>
      <c r="B25" t="s">
        <v>58</v>
      </c>
      <c r="C25" t="s">
        <v>59</v>
      </c>
      <c r="D25" t="s">
        <v>60</v>
      </c>
      <c r="E25" t="s">
        <v>61</v>
      </c>
      <c r="F25" t="s">
        <v>62</v>
      </c>
      <c r="G25" t="s">
        <v>63</v>
      </c>
      <c r="H25" t="s">
        <v>64</v>
      </c>
      <c r="I25" t="s">
        <v>65</v>
      </c>
      <c r="J25" t="s">
        <v>66</v>
      </c>
      <c r="K25" t="s">
        <v>67</v>
      </c>
      <c r="L25" t="s">
        <v>122</v>
      </c>
      <c r="M25" t="s">
        <v>123</v>
      </c>
      <c r="N25" t="str">
        <f>[1]!f_info_reitsoriginal(L25,1)</f>
        <v>首钢环境产业有限公司</v>
      </c>
      <c r="O25" t="s">
        <v>70</v>
      </c>
      <c r="P25" t="s">
        <v>71</v>
      </c>
      <c r="Q25" s="1">
        <v>3.7155999999999998</v>
      </c>
      <c r="R25" s="1">
        <v>3.7403</v>
      </c>
      <c r="S25" s="1">
        <v>3.9037000000000002</v>
      </c>
      <c r="T25" t="s">
        <v>71</v>
      </c>
      <c r="U25" t="s">
        <v>71</v>
      </c>
      <c r="V25" t="s">
        <v>71</v>
      </c>
      <c r="W25" t="s">
        <v>72</v>
      </c>
      <c r="X25" t="s">
        <v>73</v>
      </c>
      <c r="Y25" t="s">
        <v>74</v>
      </c>
      <c r="Z25" t="s">
        <v>74</v>
      </c>
      <c r="AA25" s="2">
        <v>12.015000000000001</v>
      </c>
      <c r="AB25" s="3">
        <v>1549332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12.19</v>
      </c>
      <c r="AJ25" s="3">
        <v>18887860.469999999</v>
      </c>
      <c r="AK25" s="3">
        <v>-272636.49</v>
      </c>
      <c r="AL25" s="4">
        <v>-1.44</v>
      </c>
      <c r="AM25" s="4">
        <v>0</v>
      </c>
      <c r="AN25" s="4">
        <v>0</v>
      </c>
      <c r="AO25" s="3">
        <v>-201571.16</v>
      </c>
      <c r="AP25" s="4">
        <v>-1.07</v>
      </c>
      <c r="AQ25" s="3">
        <v>71065.33</v>
      </c>
      <c r="AR25" s="4">
        <v>0.38</v>
      </c>
      <c r="AS25" s="3">
        <v>18615223.98</v>
      </c>
      <c r="AT25" t="s">
        <v>75</v>
      </c>
      <c r="AU25" t="s">
        <v>76</v>
      </c>
      <c r="AV25" t="s">
        <v>77</v>
      </c>
      <c r="AW25" t="s">
        <v>71</v>
      </c>
      <c r="AX25" t="s">
        <v>71</v>
      </c>
      <c r="AY25" t="s">
        <v>71</v>
      </c>
      <c r="AZ25" t="s">
        <v>71</v>
      </c>
      <c r="BA25" t="s">
        <v>71</v>
      </c>
      <c r="BB25" t="s">
        <v>60</v>
      </c>
      <c r="BC25" s="3">
        <v>18887860.469999999</v>
      </c>
      <c r="BD25" s="3">
        <v>18887860.469999999</v>
      </c>
      <c r="BE25" s="4">
        <v>12.19</v>
      </c>
      <c r="BF25" s="4">
        <v>12.19</v>
      </c>
    </row>
    <row r="26" spans="1:58" x14ac:dyDescent="0.55000000000000004">
      <c r="A26" t="s">
        <v>57</v>
      </c>
      <c r="B26" t="s">
        <v>58</v>
      </c>
      <c r="C26" t="s">
        <v>59</v>
      </c>
      <c r="D26" t="s">
        <v>60</v>
      </c>
      <c r="E26" t="s">
        <v>61</v>
      </c>
      <c r="F26" t="s">
        <v>62</v>
      </c>
      <c r="G26" t="s">
        <v>63</v>
      </c>
      <c r="H26" t="s">
        <v>64</v>
      </c>
      <c r="I26" t="s">
        <v>65</v>
      </c>
      <c r="J26" t="s">
        <v>66</v>
      </c>
      <c r="K26" t="s">
        <v>67</v>
      </c>
      <c r="L26" t="s">
        <v>124</v>
      </c>
      <c r="M26" t="s">
        <v>125</v>
      </c>
      <c r="N26" t="str">
        <f>[1]!f_info_reitsoriginal(L26,1)</f>
        <v>润泽科技发展有限公司</v>
      </c>
      <c r="O26" t="s">
        <v>70</v>
      </c>
      <c r="P26" t="s">
        <v>71</v>
      </c>
      <c r="Q26" s="1">
        <v>1.5162</v>
      </c>
      <c r="R26" s="1">
        <v>1.5263</v>
      </c>
      <c r="S26" s="1">
        <v>1.593</v>
      </c>
      <c r="T26" t="s">
        <v>71</v>
      </c>
      <c r="U26" t="s">
        <v>71</v>
      </c>
      <c r="V26" t="s">
        <v>71</v>
      </c>
      <c r="W26" t="s">
        <v>72</v>
      </c>
      <c r="X26" t="s">
        <v>73</v>
      </c>
      <c r="Y26" t="s">
        <v>74</v>
      </c>
      <c r="Z26" t="s">
        <v>74</v>
      </c>
      <c r="AA26" s="2">
        <v>6.915</v>
      </c>
      <c r="AB26" s="3">
        <v>1098531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6.8</v>
      </c>
      <c r="AJ26" s="3">
        <v>7472261.04</v>
      </c>
      <c r="AK26" s="3">
        <v>124080.83</v>
      </c>
      <c r="AL26" s="4">
        <v>1.66</v>
      </c>
      <c r="AM26" s="4">
        <v>0</v>
      </c>
      <c r="AN26" s="4">
        <v>0</v>
      </c>
      <c r="AO26" s="3">
        <v>974895.04</v>
      </c>
      <c r="AP26" s="4">
        <v>13.05</v>
      </c>
      <c r="AQ26" s="3">
        <v>850814.21</v>
      </c>
      <c r="AR26" s="4">
        <v>11.39</v>
      </c>
      <c r="AS26" s="3">
        <v>7596341.8700000001</v>
      </c>
      <c r="AT26" t="s">
        <v>75</v>
      </c>
      <c r="AU26" t="s">
        <v>76</v>
      </c>
      <c r="AV26" t="s">
        <v>77</v>
      </c>
      <c r="AW26" t="s">
        <v>71</v>
      </c>
      <c r="AX26" t="s">
        <v>71</v>
      </c>
      <c r="AY26" t="s">
        <v>71</v>
      </c>
      <c r="AZ26" t="s">
        <v>71</v>
      </c>
      <c r="BA26" t="s">
        <v>71</v>
      </c>
      <c r="BB26" t="s">
        <v>60</v>
      </c>
      <c r="BC26" s="3">
        <v>7472261.04</v>
      </c>
      <c r="BD26" s="3">
        <v>7472261.04</v>
      </c>
      <c r="BE26" s="4">
        <v>6.8</v>
      </c>
      <c r="BF26" s="4">
        <v>6.8</v>
      </c>
    </row>
    <row r="27" spans="1:58" x14ac:dyDescent="0.55000000000000004">
      <c r="A27" t="s">
        <v>57</v>
      </c>
      <c r="B27" t="s">
        <v>58</v>
      </c>
      <c r="C27" t="s">
        <v>59</v>
      </c>
      <c r="D27" t="s">
        <v>60</v>
      </c>
      <c r="E27" t="s">
        <v>61</v>
      </c>
      <c r="F27" t="s">
        <v>62</v>
      </c>
      <c r="G27" t="s">
        <v>63</v>
      </c>
      <c r="H27" t="s">
        <v>64</v>
      </c>
      <c r="I27" t="s">
        <v>65</v>
      </c>
      <c r="J27" t="s">
        <v>66</v>
      </c>
      <c r="K27" t="s">
        <v>126</v>
      </c>
      <c r="L27" t="s">
        <v>127</v>
      </c>
      <c r="M27" t="s">
        <v>128</v>
      </c>
      <c r="N27" t="str">
        <f>[1]!f_info_reitsoriginal(L27,1)</f>
        <v>光控安石(北京)投资管理有限公司</v>
      </c>
      <c r="O27" t="s">
        <v>70</v>
      </c>
      <c r="P27" t="s">
        <v>71</v>
      </c>
      <c r="Q27" s="1">
        <v>0.45090000000000002</v>
      </c>
      <c r="R27" s="1">
        <v>0.45390000000000003</v>
      </c>
      <c r="S27" s="1">
        <v>0.47370000000000001</v>
      </c>
      <c r="T27" t="s">
        <v>71</v>
      </c>
      <c r="U27" t="s">
        <v>71</v>
      </c>
      <c r="V27" t="s">
        <v>71</v>
      </c>
      <c r="W27" t="s">
        <v>72</v>
      </c>
      <c r="X27" t="s">
        <v>73</v>
      </c>
      <c r="Y27" t="s">
        <v>74</v>
      </c>
      <c r="Z27" t="s">
        <v>74</v>
      </c>
      <c r="AA27" s="2">
        <v>2.4409999999999998</v>
      </c>
      <c r="AB27" s="3">
        <v>925463</v>
      </c>
      <c r="AC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4">
        <v>2.65</v>
      </c>
      <c r="AJ27" s="3">
        <v>2447996.87</v>
      </c>
      <c r="AK27" s="3">
        <v>-188941.69</v>
      </c>
      <c r="AL27" s="4">
        <v>-7.72</v>
      </c>
      <c r="AM27" s="4">
        <v>0</v>
      </c>
      <c r="AN27" s="4">
        <v>0</v>
      </c>
      <c r="AO27" s="3">
        <v>-257880.37</v>
      </c>
      <c r="AP27" s="4">
        <v>-10.53</v>
      </c>
      <c r="AQ27" s="3">
        <v>-68938.679999999993</v>
      </c>
      <c r="AR27" s="4">
        <v>-2.82</v>
      </c>
      <c r="AS27" s="3">
        <v>2259055.1800000002</v>
      </c>
      <c r="AT27" t="s">
        <v>75</v>
      </c>
      <c r="AU27" t="s">
        <v>129</v>
      </c>
      <c r="AV27" t="s">
        <v>130</v>
      </c>
      <c r="AW27" t="s">
        <v>71</v>
      </c>
      <c r="AX27" t="s">
        <v>71</v>
      </c>
      <c r="AY27" t="s">
        <v>71</v>
      </c>
      <c r="AZ27" t="s">
        <v>71</v>
      </c>
      <c r="BA27" t="s">
        <v>71</v>
      </c>
      <c r="BB27" t="s">
        <v>60</v>
      </c>
      <c r="BC27" s="3">
        <v>2447996.87</v>
      </c>
      <c r="BD27" s="3">
        <v>2447996.87</v>
      </c>
      <c r="BE27" s="4">
        <v>2.65</v>
      </c>
      <c r="BF27" s="4">
        <v>2.65</v>
      </c>
    </row>
    <row r="28" spans="1:58" x14ac:dyDescent="0.55000000000000004">
      <c r="A28" t="s">
        <v>57</v>
      </c>
      <c r="B28" t="s">
        <v>58</v>
      </c>
      <c r="C28" t="s">
        <v>59</v>
      </c>
      <c r="D28" t="s">
        <v>60</v>
      </c>
      <c r="E28" t="s">
        <v>61</v>
      </c>
      <c r="F28" t="s">
        <v>62</v>
      </c>
      <c r="G28" t="s">
        <v>63</v>
      </c>
      <c r="H28" t="s">
        <v>64</v>
      </c>
      <c r="I28" t="s">
        <v>65</v>
      </c>
      <c r="J28" t="s">
        <v>66</v>
      </c>
      <c r="K28" t="s">
        <v>126</v>
      </c>
      <c r="L28" t="s">
        <v>131</v>
      </c>
      <c r="M28" t="s">
        <v>132</v>
      </c>
      <c r="N28" t="str">
        <f>[1]!f_info_reitsoriginal(L28,1)</f>
        <v>杭州市交通投资集团有限公司</v>
      </c>
      <c r="O28" t="s">
        <v>70</v>
      </c>
      <c r="P28" t="s">
        <v>71</v>
      </c>
      <c r="Q28" s="1">
        <v>0.59660000000000002</v>
      </c>
      <c r="R28" s="1">
        <v>0.60060000000000002</v>
      </c>
      <c r="S28" s="1">
        <v>0.62680000000000002</v>
      </c>
      <c r="T28" t="s">
        <v>71</v>
      </c>
      <c r="U28" t="s">
        <v>71</v>
      </c>
      <c r="V28" t="s">
        <v>71</v>
      </c>
      <c r="W28" t="s">
        <v>72</v>
      </c>
      <c r="X28" t="s">
        <v>73</v>
      </c>
      <c r="Y28" t="s">
        <v>74</v>
      </c>
      <c r="Z28" t="s">
        <v>74</v>
      </c>
      <c r="AA28" s="2">
        <v>5.6719999999999997</v>
      </c>
      <c r="AB28" s="3">
        <v>526963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6.08</v>
      </c>
      <c r="AJ28" s="3">
        <v>3202890.88</v>
      </c>
      <c r="AK28" s="3">
        <v>-213956.74</v>
      </c>
      <c r="AL28" s="4">
        <v>-6.68</v>
      </c>
      <c r="AM28" s="4">
        <v>0</v>
      </c>
      <c r="AN28" s="4">
        <v>0</v>
      </c>
      <c r="AO28" s="3">
        <v>-741411.18</v>
      </c>
      <c r="AP28" s="4">
        <v>-23.15</v>
      </c>
      <c r="AQ28" s="3">
        <v>-527454.43999999994</v>
      </c>
      <c r="AR28" s="4">
        <v>-16.47</v>
      </c>
      <c r="AS28" s="3">
        <v>2988934.14</v>
      </c>
      <c r="AT28" t="s">
        <v>75</v>
      </c>
      <c r="AU28" t="s">
        <v>129</v>
      </c>
      <c r="AV28" t="s">
        <v>130</v>
      </c>
      <c r="AW28" t="s">
        <v>71</v>
      </c>
      <c r="AX28" t="s">
        <v>71</v>
      </c>
      <c r="AY28" t="s">
        <v>71</v>
      </c>
      <c r="AZ28" t="s">
        <v>71</v>
      </c>
      <c r="BA28" t="s">
        <v>71</v>
      </c>
      <c r="BB28" t="s">
        <v>60</v>
      </c>
      <c r="BC28" s="3">
        <v>3202890.88</v>
      </c>
      <c r="BD28" s="3">
        <v>3202890.88</v>
      </c>
      <c r="BE28" s="4">
        <v>6.08</v>
      </c>
      <c r="BF28" s="4">
        <v>6.08</v>
      </c>
    </row>
    <row r="29" spans="1:58" x14ac:dyDescent="0.55000000000000004">
      <c r="A29" t="s">
        <v>57</v>
      </c>
      <c r="B29" t="s">
        <v>58</v>
      </c>
      <c r="C29" t="s">
        <v>59</v>
      </c>
      <c r="D29" t="s">
        <v>60</v>
      </c>
      <c r="E29" t="s">
        <v>61</v>
      </c>
      <c r="F29" t="s">
        <v>62</v>
      </c>
      <c r="G29" t="s">
        <v>63</v>
      </c>
      <c r="H29" t="s">
        <v>64</v>
      </c>
      <c r="I29" t="s">
        <v>65</v>
      </c>
      <c r="J29" t="s">
        <v>66</v>
      </c>
      <c r="K29" t="s">
        <v>126</v>
      </c>
      <c r="L29" t="s">
        <v>133</v>
      </c>
      <c r="M29" t="s">
        <v>134</v>
      </c>
      <c r="N29" t="str">
        <f>[1]!f_info_reitsoriginal(L29,1)</f>
        <v>上海百联集团股份有限公司</v>
      </c>
      <c r="O29" t="s">
        <v>70</v>
      </c>
      <c r="P29" t="s">
        <v>71</v>
      </c>
      <c r="Q29" s="1">
        <v>1.1042000000000001</v>
      </c>
      <c r="R29" s="1">
        <v>1.1115999999999999</v>
      </c>
      <c r="S29" s="1">
        <v>1.1600999999999999</v>
      </c>
      <c r="T29" t="s">
        <v>71</v>
      </c>
      <c r="U29" t="s">
        <v>71</v>
      </c>
      <c r="V29" t="s">
        <v>71</v>
      </c>
      <c r="W29" t="s">
        <v>72</v>
      </c>
      <c r="X29" t="s">
        <v>73</v>
      </c>
      <c r="Y29" t="s">
        <v>74</v>
      </c>
      <c r="Z29" t="s">
        <v>74</v>
      </c>
      <c r="AA29" s="2">
        <v>3.16</v>
      </c>
      <c r="AB29" s="3">
        <v>1750682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3.21</v>
      </c>
      <c r="AJ29" s="3">
        <v>5617805.2199999997</v>
      </c>
      <c r="AK29" s="3">
        <v>-85650.1</v>
      </c>
      <c r="AL29" s="4">
        <v>-1.52</v>
      </c>
      <c r="AM29" s="4">
        <v>0</v>
      </c>
      <c r="AN29" s="4">
        <v>0</v>
      </c>
      <c r="AO29" s="3">
        <v>282676.44</v>
      </c>
      <c r="AP29" s="4">
        <v>5.03</v>
      </c>
      <c r="AQ29" s="3">
        <v>368326.54</v>
      </c>
      <c r="AR29" s="4">
        <v>6.56</v>
      </c>
      <c r="AS29" s="3">
        <v>5532155.1200000001</v>
      </c>
      <c r="AT29" t="s">
        <v>75</v>
      </c>
      <c r="AU29" t="s">
        <v>129</v>
      </c>
      <c r="AV29" t="s">
        <v>130</v>
      </c>
      <c r="AW29" t="s">
        <v>71</v>
      </c>
      <c r="AX29" t="s">
        <v>71</v>
      </c>
      <c r="AY29" t="s">
        <v>71</v>
      </c>
      <c r="AZ29" t="s">
        <v>71</v>
      </c>
      <c r="BA29" t="s">
        <v>71</v>
      </c>
      <c r="BB29" t="s">
        <v>60</v>
      </c>
      <c r="BC29" s="3">
        <v>5617805.2199999997</v>
      </c>
      <c r="BD29" s="3">
        <v>5617805.2199999997</v>
      </c>
      <c r="BE29" s="4">
        <v>3.21</v>
      </c>
      <c r="BF29" s="4">
        <v>3.21</v>
      </c>
    </row>
    <row r="30" spans="1:58" x14ac:dyDescent="0.55000000000000004">
      <c r="A30" t="s">
        <v>57</v>
      </c>
      <c r="B30" t="s">
        <v>58</v>
      </c>
      <c r="C30" t="s">
        <v>59</v>
      </c>
      <c r="D30" t="s">
        <v>60</v>
      </c>
      <c r="E30" t="s">
        <v>61</v>
      </c>
      <c r="F30" t="s">
        <v>62</v>
      </c>
      <c r="G30" t="s">
        <v>63</v>
      </c>
      <c r="H30" t="s">
        <v>64</v>
      </c>
      <c r="I30" t="s">
        <v>65</v>
      </c>
      <c r="J30" t="s">
        <v>66</v>
      </c>
      <c r="K30" t="s">
        <v>126</v>
      </c>
      <c r="L30" t="s">
        <v>135</v>
      </c>
      <c r="M30" t="s">
        <v>136</v>
      </c>
      <c r="N30" t="str">
        <f>[1]!f_info_reitsoriginal(L30,1)</f>
        <v>北京联东金园管理科技有限公司</v>
      </c>
      <c r="O30" t="s">
        <v>70</v>
      </c>
      <c r="P30" t="s">
        <v>71</v>
      </c>
      <c r="Q30" s="1">
        <v>2.1640000000000001</v>
      </c>
      <c r="R30" s="1">
        <v>2.1783999999999999</v>
      </c>
      <c r="S30" s="1">
        <v>2.2734999999999999</v>
      </c>
      <c r="T30" t="s">
        <v>71</v>
      </c>
      <c r="U30" t="s">
        <v>71</v>
      </c>
      <c r="V30" t="s">
        <v>71</v>
      </c>
      <c r="W30" t="s">
        <v>72</v>
      </c>
      <c r="X30" t="s">
        <v>73</v>
      </c>
      <c r="Y30" t="s">
        <v>74</v>
      </c>
      <c r="Z30" t="s">
        <v>74</v>
      </c>
      <c r="AA30" s="2">
        <v>3.9</v>
      </c>
      <c r="AB30" s="3">
        <v>2779900</v>
      </c>
      <c r="AC30" s="4">
        <v>0</v>
      </c>
      <c r="AD30" s="4">
        <v>0</v>
      </c>
      <c r="AE30" s="4">
        <v>0</v>
      </c>
      <c r="AF30" s="4">
        <v>0</v>
      </c>
      <c r="AG30" s="4">
        <v>0</v>
      </c>
      <c r="AH30" s="4">
        <v>0</v>
      </c>
      <c r="AI30" s="4">
        <v>3.88</v>
      </c>
      <c r="AJ30" s="3">
        <v>10772529.800000001</v>
      </c>
      <c r="AK30" s="3">
        <v>69080.2</v>
      </c>
      <c r="AL30" s="4">
        <v>0.64</v>
      </c>
      <c r="AM30" s="4">
        <v>0</v>
      </c>
      <c r="AN30" s="4">
        <v>0</v>
      </c>
      <c r="AO30" s="3">
        <v>332441.12</v>
      </c>
      <c r="AP30" s="4">
        <v>3.09</v>
      </c>
      <c r="AQ30" s="3">
        <v>263360.92</v>
      </c>
      <c r="AR30" s="4">
        <v>2.44</v>
      </c>
      <c r="AS30" s="3">
        <v>10841610</v>
      </c>
      <c r="AT30" t="s">
        <v>75</v>
      </c>
      <c r="AU30" t="s">
        <v>129</v>
      </c>
      <c r="AV30" t="s">
        <v>130</v>
      </c>
      <c r="AW30" t="s">
        <v>71</v>
      </c>
      <c r="AX30" t="s">
        <v>71</v>
      </c>
      <c r="AY30" t="s">
        <v>71</v>
      </c>
      <c r="AZ30" t="s">
        <v>71</v>
      </c>
      <c r="BA30" t="s">
        <v>71</v>
      </c>
      <c r="BB30" t="s">
        <v>60</v>
      </c>
      <c r="BC30" s="3">
        <v>10772529.800000001</v>
      </c>
      <c r="BD30" s="3">
        <v>10772529.800000001</v>
      </c>
      <c r="BE30" s="4">
        <v>3.88</v>
      </c>
      <c r="BF30" s="4">
        <v>3.88</v>
      </c>
    </row>
    <row r="31" spans="1:58" x14ac:dyDescent="0.55000000000000004">
      <c r="A31" t="s">
        <v>57</v>
      </c>
      <c r="B31" t="s">
        <v>58</v>
      </c>
      <c r="C31" t="s">
        <v>59</v>
      </c>
      <c r="D31" t="s">
        <v>60</v>
      </c>
      <c r="E31" t="s">
        <v>61</v>
      </c>
      <c r="F31" t="s">
        <v>62</v>
      </c>
      <c r="G31" t="s">
        <v>63</v>
      </c>
      <c r="H31" t="s">
        <v>64</v>
      </c>
      <c r="I31" t="s">
        <v>65</v>
      </c>
      <c r="J31" t="s">
        <v>66</v>
      </c>
      <c r="K31" t="s">
        <v>126</v>
      </c>
      <c r="L31" t="s">
        <v>137</v>
      </c>
      <c r="M31" t="s">
        <v>138</v>
      </c>
      <c r="N31" t="str">
        <f>[1]!f_info_reitsoriginal(L31,1)</f>
        <v>北京首创商业管理有限公司</v>
      </c>
      <c r="O31" t="s">
        <v>70</v>
      </c>
      <c r="P31" t="s">
        <v>71</v>
      </c>
      <c r="Q31" s="1">
        <v>1.5166999999999999</v>
      </c>
      <c r="R31" s="1">
        <v>1.5267999999999999</v>
      </c>
      <c r="S31" s="1">
        <v>1.5934999999999999</v>
      </c>
      <c r="T31" t="s">
        <v>71</v>
      </c>
      <c r="U31" t="s">
        <v>71</v>
      </c>
      <c r="V31" t="s">
        <v>71</v>
      </c>
      <c r="W31" t="s">
        <v>72</v>
      </c>
      <c r="X31" t="s">
        <v>73</v>
      </c>
      <c r="Y31" t="s">
        <v>74</v>
      </c>
      <c r="Z31" t="s">
        <v>74</v>
      </c>
      <c r="AA31" s="2">
        <v>3.988</v>
      </c>
      <c r="AB31" s="3">
        <v>1905453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4.1100000000000003</v>
      </c>
      <c r="AJ31" s="3">
        <v>7824768.8700000001</v>
      </c>
      <c r="AK31" s="3">
        <v>-225822.31</v>
      </c>
      <c r="AL31" s="4">
        <v>-2.89</v>
      </c>
      <c r="AM31" s="4">
        <v>0</v>
      </c>
      <c r="AN31" s="4">
        <v>0</v>
      </c>
      <c r="AO31" s="3">
        <v>-179114.74</v>
      </c>
      <c r="AP31" s="4">
        <v>-2.29</v>
      </c>
      <c r="AQ31" s="3">
        <v>46707.57</v>
      </c>
      <c r="AR31" s="4">
        <v>0.6</v>
      </c>
      <c r="AS31" s="3">
        <v>7598946.5599999996</v>
      </c>
      <c r="AT31" t="s">
        <v>75</v>
      </c>
      <c r="AU31" t="s">
        <v>129</v>
      </c>
      <c r="AV31" t="s">
        <v>130</v>
      </c>
      <c r="AW31" t="s">
        <v>71</v>
      </c>
      <c r="AX31" t="s">
        <v>71</v>
      </c>
      <c r="AY31" t="s">
        <v>71</v>
      </c>
      <c r="AZ31" t="s">
        <v>71</v>
      </c>
      <c r="BA31" t="s">
        <v>71</v>
      </c>
      <c r="BB31" t="s">
        <v>60</v>
      </c>
      <c r="BC31" s="3">
        <v>7824768.8700000001</v>
      </c>
      <c r="BD31" s="3">
        <v>7824768.8700000001</v>
      </c>
      <c r="BE31" s="4">
        <v>4.1100000000000003</v>
      </c>
      <c r="BF31" s="4">
        <v>4.1100000000000003</v>
      </c>
    </row>
    <row r="32" spans="1:58" x14ac:dyDescent="0.55000000000000004">
      <c r="A32" t="s">
        <v>57</v>
      </c>
      <c r="B32" t="s">
        <v>58</v>
      </c>
      <c r="C32" t="s">
        <v>59</v>
      </c>
      <c r="D32" t="s">
        <v>60</v>
      </c>
      <c r="E32" t="s">
        <v>61</v>
      </c>
      <c r="F32" t="s">
        <v>62</v>
      </c>
      <c r="G32" t="s">
        <v>63</v>
      </c>
      <c r="H32" t="s">
        <v>64</v>
      </c>
      <c r="I32" t="s">
        <v>65</v>
      </c>
      <c r="J32" t="s">
        <v>66</v>
      </c>
      <c r="K32" t="s">
        <v>126</v>
      </c>
      <c r="L32" t="s">
        <v>139</v>
      </c>
      <c r="M32" t="s">
        <v>140</v>
      </c>
      <c r="N32" t="str">
        <f>[1]!f_info_reitsoriginal(L32,1)</f>
        <v>北京首创生态环保集团股份有限公司</v>
      </c>
      <c r="O32" t="s">
        <v>70</v>
      </c>
      <c r="P32" t="s">
        <v>71</v>
      </c>
      <c r="Q32" s="1">
        <v>2.5019</v>
      </c>
      <c r="R32" s="1">
        <v>2.5186000000000002</v>
      </c>
      <c r="S32" s="1">
        <v>2.6286</v>
      </c>
      <c r="T32" t="s">
        <v>71</v>
      </c>
      <c r="U32" t="s">
        <v>71</v>
      </c>
      <c r="V32" t="s">
        <v>71</v>
      </c>
      <c r="W32" t="s">
        <v>72</v>
      </c>
      <c r="X32" t="s">
        <v>73</v>
      </c>
      <c r="Y32" t="s">
        <v>74</v>
      </c>
      <c r="Z32" t="s">
        <v>74</v>
      </c>
      <c r="AA32" s="2">
        <v>3.6989999999999998</v>
      </c>
      <c r="AB32" s="3">
        <v>3388687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3.72</v>
      </c>
      <c r="AJ32" s="3">
        <v>12620698.4</v>
      </c>
      <c r="AK32" s="3">
        <v>-85945.19</v>
      </c>
      <c r="AL32" s="4">
        <v>-0.68</v>
      </c>
      <c r="AM32" s="4">
        <v>0</v>
      </c>
      <c r="AN32" s="4">
        <v>0</v>
      </c>
      <c r="AO32" s="3">
        <v>-65324.11</v>
      </c>
      <c r="AP32" s="4">
        <v>-0.52</v>
      </c>
      <c r="AQ32" s="3">
        <v>20621.080000000002</v>
      </c>
      <c r="AR32" s="4">
        <v>0.16</v>
      </c>
      <c r="AS32" s="3">
        <v>12534753.210000001</v>
      </c>
      <c r="AT32" t="s">
        <v>75</v>
      </c>
      <c r="AU32" t="s">
        <v>129</v>
      </c>
      <c r="AV32" t="s">
        <v>130</v>
      </c>
      <c r="AW32" t="s">
        <v>71</v>
      </c>
      <c r="AX32" t="s">
        <v>71</v>
      </c>
      <c r="AY32" t="s">
        <v>71</v>
      </c>
      <c r="AZ32" t="s">
        <v>71</v>
      </c>
      <c r="BA32" t="s">
        <v>71</v>
      </c>
      <c r="BB32" t="s">
        <v>60</v>
      </c>
      <c r="BC32" s="3">
        <v>12620698.4</v>
      </c>
      <c r="BD32" s="3">
        <v>12620698.4</v>
      </c>
      <c r="BE32" s="4">
        <v>3.72</v>
      </c>
      <c r="BF32" s="4">
        <v>3.72</v>
      </c>
    </row>
    <row r="33" spans="1:58" x14ac:dyDescent="0.55000000000000004">
      <c r="A33" t="s">
        <v>57</v>
      </c>
      <c r="B33" t="s">
        <v>58</v>
      </c>
      <c r="C33" t="s">
        <v>59</v>
      </c>
      <c r="D33" t="s">
        <v>60</v>
      </c>
      <c r="E33" t="s">
        <v>61</v>
      </c>
      <c r="F33" t="s">
        <v>62</v>
      </c>
      <c r="G33" t="s">
        <v>63</v>
      </c>
      <c r="H33" t="s">
        <v>64</v>
      </c>
      <c r="I33" t="s">
        <v>65</v>
      </c>
      <c r="J33" t="s">
        <v>66</v>
      </c>
      <c r="K33" t="s">
        <v>126</v>
      </c>
      <c r="L33" t="s">
        <v>141</v>
      </c>
      <c r="M33" t="s">
        <v>142</v>
      </c>
      <c r="N33" t="str">
        <f>[1]!f_info_reitsoriginal(L33,1)</f>
        <v>山东高速集团有限公司</v>
      </c>
      <c r="O33" t="s">
        <v>70</v>
      </c>
      <c r="P33" t="s">
        <v>71</v>
      </c>
      <c r="Q33" s="1">
        <v>0.35709999999999997</v>
      </c>
      <c r="R33" s="1">
        <v>0.35949999999999999</v>
      </c>
      <c r="S33" s="1">
        <v>0.37519999999999998</v>
      </c>
      <c r="T33" t="s">
        <v>71</v>
      </c>
      <c r="U33" t="s">
        <v>71</v>
      </c>
      <c r="V33" t="s">
        <v>71</v>
      </c>
      <c r="W33" t="s">
        <v>72</v>
      </c>
      <c r="X33" t="s">
        <v>73</v>
      </c>
      <c r="Y33" t="s">
        <v>74</v>
      </c>
      <c r="Z33" t="s">
        <v>74</v>
      </c>
      <c r="AA33" s="2">
        <v>6.968</v>
      </c>
      <c r="AB33" s="3">
        <v>256770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7.35</v>
      </c>
      <c r="AJ33" s="3">
        <v>1887259.59</v>
      </c>
      <c r="AK33" s="3">
        <v>-98086.23</v>
      </c>
      <c r="AL33" s="4">
        <v>-5.2</v>
      </c>
      <c r="AM33" s="4">
        <v>0</v>
      </c>
      <c r="AN33" s="4">
        <v>0</v>
      </c>
      <c r="AO33" s="3">
        <v>-327328.09999999998</v>
      </c>
      <c r="AP33" s="4">
        <v>-17.34</v>
      </c>
      <c r="AQ33" s="3">
        <v>-229241.87</v>
      </c>
      <c r="AR33" s="4">
        <v>-12.15</v>
      </c>
      <c r="AS33" s="3">
        <v>1789173.36</v>
      </c>
      <c r="AT33" t="s">
        <v>75</v>
      </c>
      <c r="AU33" t="s">
        <v>129</v>
      </c>
      <c r="AV33" t="s">
        <v>130</v>
      </c>
      <c r="AW33" t="s">
        <v>71</v>
      </c>
      <c r="AX33" t="s">
        <v>71</v>
      </c>
      <c r="AY33" t="s">
        <v>71</v>
      </c>
      <c r="AZ33" t="s">
        <v>71</v>
      </c>
      <c r="BA33" t="s">
        <v>71</v>
      </c>
      <c r="BB33" t="s">
        <v>60</v>
      </c>
      <c r="BC33" s="3">
        <v>1887259.59</v>
      </c>
      <c r="BD33" s="3">
        <v>1887259.59</v>
      </c>
      <c r="BE33" s="4">
        <v>7.35</v>
      </c>
      <c r="BF33" s="4">
        <v>7.35</v>
      </c>
    </row>
    <row r="34" spans="1:58" x14ac:dyDescent="0.55000000000000004">
      <c r="A34" t="s">
        <v>57</v>
      </c>
      <c r="B34" t="s">
        <v>58</v>
      </c>
      <c r="C34" t="s">
        <v>59</v>
      </c>
      <c r="D34" t="s">
        <v>60</v>
      </c>
      <c r="E34" t="s">
        <v>61</v>
      </c>
      <c r="F34" t="s">
        <v>62</v>
      </c>
      <c r="G34" t="s">
        <v>63</v>
      </c>
      <c r="H34" t="s">
        <v>64</v>
      </c>
      <c r="I34" t="s">
        <v>65</v>
      </c>
      <c r="J34" t="s">
        <v>66</v>
      </c>
      <c r="K34" t="s">
        <v>126</v>
      </c>
      <c r="L34" t="s">
        <v>143</v>
      </c>
      <c r="M34" t="s">
        <v>144</v>
      </c>
      <c r="N34" t="str">
        <f>[1]!f_info_reitsoriginal(L34,1)</f>
        <v>中铁建重庆投资集团有限公司</v>
      </c>
      <c r="O34" t="s">
        <v>70</v>
      </c>
      <c r="P34" t="s">
        <v>71</v>
      </c>
      <c r="Q34" s="1">
        <v>1.1445000000000001</v>
      </c>
      <c r="R34" s="1">
        <v>1.1520999999999999</v>
      </c>
      <c r="S34" s="1">
        <v>1.2023999999999999</v>
      </c>
      <c r="T34" t="s">
        <v>71</v>
      </c>
      <c r="U34" t="s">
        <v>71</v>
      </c>
      <c r="V34" t="s">
        <v>71</v>
      </c>
      <c r="W34" t="s">
        <v>72</v>
      </c>
      <c r="X34" t="s">
        <v>73</v>
      </c>
      <c r="Y34" t="s">
        <v>74</v>
      </c>
      <c r="Z34" t="s">
        <v>74</v>
      </c>
      <c r="AA34" s="2">
        <v>8.2409999999999997</v>
      </c>
      <c r="AB34" s="3">
        <v>695773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8.3699999999999992</v>
      </c>
      <c r="AJ34" s="3">
        <v>5822144.3799999999</v>
      </c>
      <c r="AK34" s="3">
        <v>-88279.09</v>
      </c>
      <c r="AL34" s="4">
        <v>-1.52</v>
      </c>
      <c r="AM34" s="4">
        <v>0</v>
      </c>
      <c r="AN34" s="4">
        <v>0</v>
      </c>
      <c r="AO34" s="3">
        <v>-112089.74</v>
      </c>
      <c r="AP34" s="4">
        <v>-1.93</v>
      </c>
      <c r="AQ34" s="3">
        <v>-23810.65</v>
      </c>
      <c r="AR34" s="4">
        <v>-0.41</v>
      </c>
      <c r="AS34" s="3">
        <v>5733865.29</v>
      </c>
      <c r="AT34" t="s">
        <v>75</v>
      </c>
      <c r="AU34" t="s">
        <v>129</v>
      </c>
      <c r="AV34" t="s">
        <v>130</v>
      </c>
      <c r="AW34" t="s">
        <v>71</v>
      </c>
      <c r="AX34" t="s">
        <v>71</v>
      </c>
      <c r="AY34" t="s">
        <v>71</v>
      </c>
      <c r="AZ34" t="s">
        <v>71</v>
      </c>
      <c r="BA34" t="s">
        <v>71</v>
      </c>
      <c r="BB34" t="s">
        <v>60</v>
      </c>
      <c r="BC34" s="3">
        <v>5822144.3799999999</v>
      </c>
      <c r="BD34" s="3">
        <v>5822144.3799999999</v>
      </c>
      <c r="BE34" s="4">
        <v>8.3699999999999992</v>
      </c>
      <c r="BF34" s="4">
        <v>8.3699999999999992</v>
      </c>
    </row>
    <row r="35" spans="1:58" x14ac:dyDescent="0.55000000000000004">
      <c r="A35" t="s">
        <v>57</v>
      </c>
      <c r="B35" t="s">
        <v>58</v>
      </c>
      <c r="C35" t="s">
        <v>59</v>
      </c>
      <c r="D35" t="s">
        <v>60</v>
      </c>
      <c r="E35" t="s">
        <v>61</v>
      </c>
      <c r="F35" t="s">
        <v>62</v>
      </c>
      <c r="G35" t="s">
        <v>63</v>
      </c>
      <c r="H35" t="s">
        <v>64</v>
      </c>
      <c r="I35" t="s">
        <v>65</v>
      </c>
      <c r="J35" t="s">
        <v>66</v>
      </c>
      <c r="K35" t="s">
        <v>126</v>
      </c>
      <c r="L35" t="s">
        <v>145</v>
      </c>
      <c r="M35" t="s">
        <v>146</v>
      </c>
      <c r="N35" t="str">
        <f>[1]!f_info_reitsoriginal(L35,1)</f>
        <v>安徽省交通控股集团有限公司</v>
      </c>
      <c r="O35" t="s">
        <v>70</v>
      </c>
      <c r="P35" t="s">
        <v>71</v>
      </c>
      <c r="Q35" s="1">
        <v>1.3047</v>
      </c>
      <c r="R35" s="1">
        <v>1.3133999999999999</v>
      </c>
      <c r="S35" s="1">
        <v>1.3707</v>
      </c>
      <c r="T35" t="s">
        <v>71</v>
      </c>
      <c r="U35" t="s">
        <v>71</v>
      </c>
      <c r="V35" t="s">
        <v>71</v>
      </c>
      <c r="W35" t="s">
        <v>72</v>
      </c>
      <c r="X35" t="s">
        <v>73</v>
      </c>
      <c r="Y35" t="s">
        <v>74</v>
      </c>
      <c r="Z35" t="s">
        <v>74</v>
      </c>
      <c r="AA35" s="2">
        <v>6.3529999999999998</v>
      </c>
      <c r="AB35" s="3">
        <v>1028891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6.83</v>
      </c>
      <c r="AJ35" s="3">
        <v>7023969.7199999997</v>
      </c>
      <c r="AK35" s="3">
        <v>-487425.2</v>
      </c>
      <c r="AL35" s="4">
        <v>-6.94</v>
      </c>
      <c r="AM35" s="4">
        <v>0</v>
      </c>
      <c r="AN35" s="4">
        <v>0</v>
      </c>
      <c r="AO35" s="3">
        <v>-585841.82999999996</v>
      </c>
      <c r="AP35" s="4">
        <v>-8.34</v>
      </c>
      <c r="AQ35" s="3">
        <v>-98416.63</v>
      </c>
      <c r="AR35" s="4">
        <v>-1.4</v>
      </c>
      <c r="AS35" s="3">
        <v>6536544.5199999996</v>
      </c>
      <c r="AT35" t="s">
        <v>75</v>
      </c>
      <c r="AU35" t="s">
        <v>129</v>
      </c>
      <c r="AV35" t="s">
        <v>130</v>
      </c>
      <c r="AW35" t="s">
        <v>71</v>
      </c>
      <c r="AX35" t="s">
        <v>71</v>
      </c>
      <c r="AY35" t="s">
        <v>71</v>
      </c>
      <c r="AZ35" t="s">
        <v>71</v>
      </c>
      <c r="BA35" t="s">
        <v>71</v>
      </c>
      <c r="BB35" t="s">
        <v>60</v>
      </c>
      <c r="BC35" s="3">
        <v>7023969.7199999997</v>
      </c>
      <c r="BD35" s="3">
        <v>7023969.7199999997</v>
      </c>
      <c r="BE35" s="4">
        <v>6.83</v>
      </c>
      <c r="BF35" s="4">
        <v>6.83</v>
      </c>
    </row>
    <row r="36" spans="1:58" x14ac:dyDescent="0.55000000000000004">
      <c r="A36" t="s">
        <v>57</v>
      </c>
      <c r="B36" t="s">
        <v>58</v>
      </c>
      <c r="C36" t="s">
        <v>59</v>
      </c>
      <c r="D36" t="s">
        <v>60</v>
      </c>
      <c r="E36" t="s">
        <v>61</v>
      </c>
      <c r="F36" t="s">
        <v>62</v>
      </c>
      <c r="G36" t="s">
        <v>63</v>
      </c>
      <c r="H36" t="s">
        <v>64</v>
      </c>
      <c r="I36" t="s">
        <v>65</v>
      </c>
      <c r="J36" t="s">
        <v>66</v>
      </c>
      <c r="K36" t="s">
        <v>126</v>
      </c>
      <c r="L36" t="s">
        <v>147</v>
      </c>
      <c r="M36" t="s">
        <v>148</v>
      </c>
      <c r="N36" t="str">
        <f>[1]!f_info_reitsoriginal(L36,1)</f>
        <v>重庆两江新区产业发展集团有限公司</v>
      </c>
      <c r="O36" t="s">
        <v>70</v>
      </c>
      <c r="P36" t="s">
        <v>71</v>
      </c>
      <c r="Q36" s="1">
        <v>0.94820000000000004</v>
      </c>
      <c r="R36" s="1">
        <v>0.95450000000000002</v>
      </c>
      <c r="S36" s="1">
        <v>0.99619999999999997</v>
      </c>
      <c r="T36" t="s">
        <v>71</v>
      </c>
      <c r="U36" t="s">
        <v>71</v>
      </c>
      <c r="V36" t="s">
        <v>71</v>
      </c>
      <c r="W36" t="s">
        <v>72</v>
      </c>
      <c r="X36" t="s">
        <v>73</v>
      </c>
      <c r="Y36" t="s">
        <v>74</v>
      </c>
      <c r="Z36" t="s">
        <v>74</v>
      </c>
      <c r="AA36" s="2">
        <v>3.0310000000000001</v>
      </c>
      <c r="AB36" s="3">
        <v>1567362</v>
      </c>
      <c r="AC36" s="4">
        <v>0</v>
      </c>
      <c r="AD36" s="4">
        <v>0</v>
      </c>
      <c r="AE36" s="4">
        <v>0</v>
      </c>
      <c r="AF36" s="4">
        <v>0</v>
      </c>
      <c r="AG36" s="4">
        <v>0</v>
      </c>
      <c r="AH36" s="4">
        <v>0</v>
      </c>
      <c r="AI36" s="4">
        <v>2.97</v>
      </c>
      <c r="AJ36" s="3">
        <v>4653711.74</v>
      </c>
      <c r="AK36" s="3">
        <v>96962.48</v>
      </c>
      <c r="AL36" s="4">
        <v>2.08</v>
      </c>
      <c r="AM36" s="4">
        <v>0</v>
      </c>
      <c r="AN36" s="4">
        <v>0</v>
      </c>
      <c r="AO36" s="3">
        <v>87984.25</v>
      </c>
      <c r="AP36" s="4">
        <v>1.89</v>
      </c>
      <c r="AQ36" s="3">
        <v>-8978.23</v>
      </c>
      <c r="AR36" s="4">
        <v>-0.19</v>
      </c>
      <c r="AS36" s="3">
        <v>4750674.22</v>
      </c>
      <c r="AT36" t="s">
        <v>75</v>
      </c>
      <c r="AU36" t="s">
        <v>129</v>
      </c>
      <c r="AV36" t="s">
        <v>130</v>
      </c>
      <c r="AW36" t="s">
        <v>71</v>
      </c>
      <c r="AX36" t="s">
        <v>71</v>
      </c>
      <c r="AY36" t="s">
        <v>71</v>
      </c>
      <c r="AZ36" t="s">
        <v>71</v>
      </c>
      <c r="BA36" t="s">
        <v>71</v>
      </c>
      <c r="BB36" t="s">
        <v>60</v>
      </c>
      <c r="BC36" s="3">
        <v>4653711.74</v>
      </c>
      <c r="BD36" s="3">
        <v>4653711.74</v>
      </c>
      <c r="BE36" s="4">
        <v>2.97</v>
      </c>
      <c r="BF36" s="4">
        <v>2.97</v>
      </c>
    </row>
    <row r="37" spans="1:58" x14ac:dyDescent="0.55000000000000004">
      <c r="A37" t="s">
        <v>57</v>
      </c>
      <c r="B37" t="s">
        <v>58</v>
      </c>
      <c r="C37" t="s">
        <v>59</v>
      </c>
      <c r="D37" t="s">
        <v>60</v>
      </c>
      <c r="E37" t="s">
        <v>61</v>
      </c>
      <c r="F37" t="s">
        <v>62</v>
      </c>
      <c r="G37" t="s">
        <v>63</v>
      </c>
      <c r="H37" t="s">
        <v>64</v>
      </c>
      <c r="I37" t="s">
        <v>65</v>
      </c>
      <c r="J37" t="s">
        <v>66</v>
      </c>
      <c r="K37" t="s">
        <v>126</v>
      </c>
      <c r="L37" t="s">
        <v>149</v>
      </c>
      <c r="M37" t="s">
        <v>150</v>
      </c>
      <c r="N37" t="str">
        <f>[1]!f_info_reitsoriginal(L37,1)</f>
        <v>北京物美商业集团股份有限公司</v>
      </c>
      <c r="O37" t="s">
        <v>70</v>
      </c>
      <c r="P37" t="s">
        <v>71</v>
      </c>
      <c r="Q37" s="1">
        <v>0.63429999999999997</v>
      </c>
      <c r="R37" s="1">
        <v>0.63849999999999996</v>
      </c>
      <c r="S37" s="1">
        <v>0.66639999999999999</v>
      </c>
      <c r="T37" t="s">
        <v>71</v>
      </c>
      <c r="U37" t="s">
        <v>71</v>
      </c>
      <c r="V37" t="s">
        <v>71</v>
      </c>
      <c r="W37" t="s">
        <v>72</v>
      </c>
      <c r="X37" t="s">
        <v>73</v>
      </c>
      <c r="Y37" t="s">
        <v>74</v>
      </c>
      <c r="Z37" t="s">
        <v>74</v>
      </c>
      <c r="AA37" s="2">
        <v>4.2370000000000001</v>
      </c>
      <c r="AB37" s="3">
        <v>749991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4.25</v>
      </c>
      <c r="AJ37" s="3">
        <v>3184848.9</v>
      </c>
      <c r="AK37" s="3">
        <v>-7137.03</v>
      </c>
      <c r="AL37" s="4">
        <v>-0.22</v>
      </c>
      <c r="AM37" s="4">
        <v>0</v>
      </c>
      <c r="AN37" s="4">
        <v>0</v>
      </c>
      <c r="AO37" s="4">
        <v>194.8</v>
      </c>
      <c r="AP37" s="4">
        <v>0.01</v>
      </c>
      <c r="AQ37" s="3">
        <v>7331.83</v>
      </c>
      <c r="AR37" s="4">
        <v>0.23</v>
      </c>
      <c r="AS37" s="3">
        <v>3177711.87</v>
      </c>
      <c r="AT37" t="s">
        <v>75</v>
      </c>
      <c r="AU37" t="s">
        <v>129</v>
      </c>
      <c r="AV37" t="s">
        <v>130</v>
      </c>
      <c r="AW37" t="s">
        <v>71</v>
      </c>
      <c r="AX37" t="s">
        <v>71</v>
      </c>
      <c r="AY37" t="s">
        <v>71</v>
      </c>
      <c r="AZ37" t="s">
        <v>71</v>
      </c>
      <c r="BA37" t="s">
        <v>71</v>
      </c>
      <c r="BB37" t="s">
        <v>60</v>
      </c>
      <c r="BC37" s="3">
        <v>3184848.9</v>
      </c>
      <c r="BD37" s="3">
        <v>3184848.9</v>
      </c>
      <c r="BE37" s="4">
        <v>4.25</v>
      </c>
      <c r="BF37" s="4">
        <v>4.25</v>
      </c>
    </row>
    <row r="38" spans="1:58" x14ac:dyDescent="0.55000000000000004">
      <c r="A38" t="s">
        <v>57</v>
      </c>
      <c r="B38" t="s">
        <v>58</v>
      </c>
      <c r="C38" t="s">
        <v>59</v>
      </c>
      <c r="D38" t="s">
        <v>60</v>
      </c>
      <c r="E38" t="s">
        <v>61</v>
      </c>
      <c r="F38" t="s">
        <v>62</v>
      </c>
      <c r="G38" t="s">
        <v>63</v>
      </c>
      <c r="H38" t="s">
        <v>64</v>
      </c>
      <c r="I38" t="s">
        <v>65</v>
      </c>
      <c r="J38" t="s">
        <v>66</v>
      </c>
      <c r="K38" t="s">
        <v>126</v>
      </c>
      <c r="L38" t="s">
        <v>151</v>
      </c>
      <c r="M38" t="s">
        <v>152</v>
      </c>
      <c r="N38" t="str">
        <f>[1]!f_info_reitsoriginal(L38,1)</f>
        <v>上海杨浦科技创业中心有限公司</v>
      </c>
      <c r="O38" t="s">
        <v>70</v>
      </c>
      <c r="P38" t="s">
        <v>71</v>
      </c>
      <c r="Q38" s="1">
        <v>1E-4</v>
      </c>
      <c r="R38" s="1">
        <v>1E-4</v>
      </c>
      <c r="S38" s="1">
        <v>1E-4</v>
      </c>
      <c r="T38" t="s">
        <v>71</v>
      </c>
      <c r="U38" t="s">
        <v>71</v>
      </c>
      <c r="V38" t="s">
        <v>71</v>
      </c>
      <c r="W38" t="s">
        <v>72</v>
      </c>
      <c r="X38" t="s">
        <v>73</v>
      </c>
      <c r="Y38" t="s">
        <v>74</v>
      </c>
      <c r="Z38" t="s">
        <v>74</v>
      </c>
      <c r="AA38" s="2">
        <v>2.8879999999999999</v>
      </c>
      <c r="AB38" s="4">
        <v>200</v>
      </c>
      <c r="AC38" s="4">
        <v>0</v>
      </c>
      <c r="AD38" s="4">
        <v>0</v>
      </c>
      <c r="AE38" s="4">
        <v>0</v>
      </c>
      <c r="AF38" s="4">
        <v>0</v>
      </c>
      <c r="AG38" s="4">
        <v>0</v>
      </c>
      <c r="AH38" s="4">
        <v>0</v>
      </c>
      <c r="AI38" s="4">
        <v>3.26</v>
      </c>
      <c r="AJ38" s="4">
        <v>652.38</v>
      </c>
      <c r="AK38" s="4">
        <v>-74.78</v>
      </c>
      <c r="AL38" s="4">
        <v>-11.46</v>
      </c>
      <c r="AM38" s="4">
        <v>0</v>
      </c>
      <c r="AN38" s="4">
        <v>0</v>
      </c>
      <c r="AO38" s="3">
        <v>-19546.8</v>
      </c>
      <c r="AP38" s="3">
        <v>-2996.23</v>
      </c>
      <c r="AQ38" s="3">
        <v>-19472.02</v>
      </c>
      <c r="AR38" s="3">
        <v>-2984.77</v>
      </c>
      <c r="AS38" s="4">
        <v>577.6</v>
      </c>
      <c r="AT38" t="s">
        <v>75</v>
      </c>
      <c r="AU38" t="s">
        <v>129</v>
      </c>
      <c r="AV38" t="s">
        <v>130</v>
      </c>
      <c r="AW38" t="s">
        <v>71</v>
      </c>
      <c r="AX38" t="s">
        <v>71</v>
      </c>
      <c r="AY38" t="s">
        <v>71</v>
      </c>
      <c r="AZ38" t="s">
        <v>71</v>
      </c>
      <c r="BA38" t="s">
        <v>71</v>
      </c>
      <c r="BB38" t="s">
        <v>60</v>
      </c>
      <c r="BC38" s="4">
        <v>652.38</v>
      </c>
      <c r="BD38" s="4">
        <v>652.38</v>
      </c>
      <c r="BE38" s="4">
        <v>3.26</v>
      </c>
      <c r="BF38" s="4">
        <v>3.26</v>
      </c>
    </row>
    <row r="39" spans="1:58" x14ac:dyDescent="0.55000000000000004">
      <c r="A39" t="s">
        <v>57</v>
      </c>
      <c r="B39" t="s">
        <v>58</v>
      </c>
      <c r="C39" t="s">
        <v>59</v>
      </c>
      <c r="D39" t="s">
        <v>60</v>
      </c>
      <c r="E39" t="s">
        <v>61</v>
      </c>
      <c r="F39" t="s">
        <v>62</v>
      </c>
      <c r="G39" t="s">
        <v>63</v>
      </c>
      <c r="H39" t="s">
        <v>64</v>
      </c>
      <c r="I39" t="s">
        <v>65</v>
      </c>
      <c r="J39" t="s">
        <v>66</v>
      </c>
      <c r="K39" t="s">
        <v>126</v>
      </c>
      <c r="L39" t="s">
        <v>153</v>
      </c>
      <c r="M39" t="s">
        <v>154</v>
      </c>
      <c r="N39" t="str">
        <f>[1]!f_info_reitsoriginal(L39,1)</f>
        <v>北京洁源新能投资有限公司</v>
      </c>
      <c r="O39" t="s">
        <v>70</v>
      </c>
      <c r="P39" t="s">
        <v>71</v>
      </c>
      <c r="Q39" s="1">
        <v>0.18010000000000001</v>
      </c>
      <c r="R39" s="1">
        <v>0.18129999999999999</v>
      </c>
      <c r="S39" s="1">
        <v>0.18920000000000001</v>
      </c>
      <c r="T39" t="s">
        <v>71</v>
      </c>
      <c r="U39" t="s">
        <v>71</v>
      </c>
      <c r="V39" t="s">
        <v>71</v>
      </c>
      <c r="W39" t="s">
        <v>72</v>
      </c>
      <c r="X39" t="s">
        <v>73</v>
      </c>
      <c r="Y39" t="s">
        <v>74</v>
      </c>
      <c r="Z39" t="s">
        <v>74</v>
      </c>
      <c r="AA39" s="2">
        <v>6.7679999999999998</v>
      </c>
      <c r="AB39" s="3">
        <v>133305</v>
      </c>
      <c r="AC39" s="4">
        <v>0</v>
      </c>
      <c r="AD39" s="4">
        <v>0</v>
      </c>
      <c r="AE39" s="4">
        <v>0</v>
      </c>
      <c r="AF39" s="4">
        <v>0</v>
      </c>
      <c r="AG39" s="4">
        <v>0</v>
      </c>
      <c r="AH39" s="4">
        <v>0</v>
      </c>
      <c r="AI39" s="4">
        <v>6.91</v>
      </c>
      <c r="AJ39" s="3">
        <v>921046.2</v>
      </c>
      <c r="AK39" s="3">
        <v>-18837.96</v>
      </c>
      <c r="AL39" s="4">
        <v>-2.0499999999999998</v>
      </c>
      <c r="AM39" s="4">
        <v>0</v>
      </c>
      <c r="AN39" s="4">
        <v>0</v>
      </c>
      <c r="AO39" s="3">
        <v>-274839.49</v>
      </c>
      <c r="AP39" s="4">
        <v>-29.84</v>
      </c>
      <c r="AQ39" s="3">
        <v>-256001.53</v>
      </c>
      <c r="AR39" s="4">
        <v>-27.79</v>
      </c>
      <c r="AS39" s="3">
        <v>902208.24</v>
      </c>
      <c r="AT39" t="s">
        <v>75</v>
      </c>
      <c r="AU39" t="s">
        <v>129</v>
      </c>
      <c r="AV39" t="s">
        <v>130</v>
      </c>
      <c r="AW39" t="s">
        <v>71</v>
      </c>
      <c r="AX39" t="s">
        <v>71</v>
      </c>
      <c r="AY39" t="s">
        <v>71</v>
      </c>
      <c r="AZ39" t="s">
        <v>71</v>
      </c>
      <c r="BA39" t="s">
        <v>71</v>
      </c>
      <c r="BB39" t="s">
        <v>60</v>
      </c>
      <c r="BC39" s="3">
        <v>921046.2</v>
      </c>
      <c r="BD39" s="3">
        <v>921046.2</v>
      </c>
      <c r="BE39" s="4">
        <v>6.91</v>
      </c>
      <c r="BF39" s="4">
        <v>6.91</v>
      </c>
    </row>
    <row r="40" spans="1:58" x14ac:dyDescent="0.55000000000000004">
      <c r="A40" t="s">
        <v>57</v>
      </c>
      <c r="B40" t="s">
        <v>58</v>
      </c>
      <c r="C40" t="s">
        <v>59</v>
      </c>
      <c r="D40" t="s">
        <v>60</v>
      </c>
      <c r="E40" t="s">
        <v>61</v>
      </c>
      <c r="F40" t="s">
        <v>62</v>
      </c>
      <c r="G40" t="s">
        <v>63</v>
      </c>
      <c r="H40" t="s">
        <v>64</v>
      </c>
      <c r="I40" t="s">
        <v>65</v>
      </c>
      <c r="J40" t="s">
        <v>66</v>
      </c>
      <c r="K40" t="s">
        <v>126</v>
      </c>
      <c r="L40" t="s">
        <v>155</v>
      </c>
      <c r="M40" t="s">
        <v>156</v>
      </c>
      <c r="N40" t="str">
        <f>[1]!f_info_reitsoriginal(L40,1)</f>
        <v>杭州钱塘新区产业发展集团有限公司</v>
      </c>
      <c r="O40" t="s">
        <v>70</v>
      </c>
      <c r="P40" t="s">
        <v>71</v>
      </c>
      <c r="Q40" s="1">
        <v>0.77</v>
      </c>
      <c r="R40" s="1">
        <v>0.77510000000000001</v>
      </c>
      <c r="S40" s="1">
        <v>0.80900000000000005</v>
      </c>
      <c r="T40" t="s">
        <v>71</v>
      </c>
      <c r="U40" t="s">
        <v>71</v>
      </c>
      <c r="V40" t="s">
        <v>71</v>
      </c>
      <c r="W40" t="s">
        <v>72</v>
      </c>
      <c r="X40" t="s">
        <v>73</v>
      </c>
      <c r="Y40" t="s">
        <v>74</v>
      </c>
      <c r="Z40" t="s">
        <v>74</v>
      </c>
      <c r="AA40" s="2">
        <v>4.2569999999999997</v>
      </c>
      <c r="AB40" s="3">
        <v>906197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4.47</v>
      </c>
      <c r="AJ40" s="3">
        <v>4049902.18</v>
      </c>
      <c r="AK40" s="3">
        <v>-192221.55</v>
      </c>
      <c r="AL40" s="4">
        <v>-4.75</v>
      </c>
      <c r="AM40" s="4">
        <v>0</v>
      </c>
      <c r="AN40" s="4">
        <v>0</v>
      </c>
      <c r="AO40" s="3">
        <v>-329286.93</v>
      </c>
      <c r="AP40" s="4">
        <v>-8.1300000000000008</v>
      </c>
      <c r="AQ40" s="3">
        <v>-137065.38</v>
      </c>
      <c r="AR40" s="4">
        <v>-3.38</v>
      </c>
      <c r="AS40" s="3">
        <v>3857680.63</v>
      </c>
      <c r="AT40" t="s">
        <v>75</v>
      </c>
      <c r="AU40" t="s">
        <v>129</v>
      </c>
      <c r="AV40" t="s">
        <v>130</v>
      </c>
      <c r="AW40" t="s">
        <v>71</v>
      </c>
      <c r="AX40" t="s">
        <v>71</v>
      </c>
      <c r="AY40" t="s">
        <v>71</v>
      </c>
      <c r="AZ40" t="s">
        <v>71</v>
      </c>
      <c r="BA40" t="s">
        <v>71</v>
      </c>
      <c r="BB40" t="s">
        <v>60</v>
      </c>
      <c r="BC40" s="3">
        <v>4049902.18</v>
      </c>
      <c r="BD40" s="3">
        <v>4049902.18</v>
      </c>
      <c r="BE40" s="4">
        <v>4.47</v>
      </c>
      <c r="BF40" s="4">
        <v>4.47</v>
      </c>
    </row>
    <row r="41" spans="1:58" x14ac:dyDescent="0.55000000000000004">
      <c r="A41" t="s">
        <v>57</v>
      </c>
      <c r="B41" t="s">
        <v>58</v>
      </c>
      <c r="C41" t="s">
        <v>59</v>
      </c>
      <c r="D41" t="s">
        <v>60</v>
      </c>
      <c r="E41" t="s">
        <v>61</v>
      </c>
      <c r="F41" t="s">
        <v>62</v>
      </c>
      <c r="G41" t="s">
        <v>63</v>
      </c>
      <c r="H41" t="s">
        <v>64</v>
      </c>
      <c r="I41" t="s">
        <v>65</v>
      </c>
      <c r="J41" t="s">
        <v>66</v>
      </c>
      <c r="K41" t="s">
        <v>126</v>
      </c>
      <c r="L41" t="s">
        <v>157</v>
      </c>
      <c r="M41" t="s">
        <v>158</v>
      </c>
      <c r="N41" t="str">
        <f>[1]!f_info_reitsoriginal(L41,1)</f>
        <v>上海兴秀茂商业管理有限公司</v>
      </c>
      <c r="O41" t="s">
        <v>70</v>
      </c>
      <c r="P41" t="s">
        <v>71</v>
      </c>
      <c r="Q41" s="1">
        <v>2.4188999999999998</v>
      </c>
      <c r="R41" s="1">
        <v>2.4350000000000001</v>
      </c>
      <c r="S41" s="1">
        <v>2.5413000000000001</v>
      </c>
      <c r="T41" t="s">
        <v>71</v>
      </c>
      <c r="U41" t="s">
        <v>71</v>
      </c>
      <c r="V41" t="s">
        <v>71</v>
      </c>
      <c r="W41" t="s">
        <v>72</v>
      </c>
      <c r="X41" t="s">
        <v>73</v>
      </c>
      <c r="Y41" t="s">
        <v>74</v>
      </c>
      <c r="Z41" t="s">
        <v>74</v>
      </c>
      <c r="AA41" s="2">
        <v>3.9180000000000001</v>
      </c>
      <c r="AB41" s="3">
        <v>3093057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3.9</v>
      </c>
      <c r="AJ41" s="3">
        <v>12060774.07</v>
      </c>
      <c r="AK41" s="3">
        <v>57823.26</v>
      </c>
      <c r="AL41" s="4">
        <v>0.48</v>
      </c>
      <c r="AM41" s="4">
        <v>0</v>
      </c>
      <c r="AN41" s="4">
        <v>0</v>
      </c>
      <c r="AO41" s="3">
        <v>122658.59</v>
      </c>
      <c r="AP41" s="4">
        <v>1.02</v>
      </c>
      <c r="AQ41" s="3">
        <v>64835.33</v>
      </c>
      <c r="AR41" s="4">
        <v>0.54</v>
      </c>
      <c r="AS41" s="3">
        <v>12118597.33</v>
      </c>
      <c r="AT41" t="s">
        <v>75</v>
      </c>
      <c r="AU41" t="s">
        <v>129</v>
      </c>
      <c r="AV41" t="s">
        <v>130</v>
      </c>
      <c r="AW41" t="s">
        <v>71</v>
      </c>
      <c r="AX41" t="s">
        <v>71</v>
      </c>
      <c r="AY41" t="s">
        <v>71</v>
      </c>
      <c r="AZ41" t="s">
        <v>71</v>
      </c>
      <c r="BA41" t="s">
        <v>71</v>
      </c>
      <c r="BB41" t="s">
        <v>60</v>
      </c>
      <c r="BC41" s="3">
        <v>12060774.07</v>
      </c>
      <c r="BD41" s="3">
        <v>12060774.07</v>
      </c>
      <c r="BE41" s="4">
        <v>3.9</v>
      </c>
      <c r="BF41" s="4">
        <v>3.9</v>
      </c>
    </row>
    <row r="42" spans="1:58" x14ac:dyDescent="0.55000000000000004">
      <c r="A42" t="s">
        <v>57</v>
      </c>
      <c r="B42" t="s">
        <v>58</v>
      </c>
      <c r="C42" t="s">
        <v>59</v>
      </c>
      <c r="D42" t="s">
        <v>60</v>
      </c>
      <c r="E42" t="s">
        <v>61</v>
      </c>
      <c r="F42" t="s">
        <v>62</v>
      </c>
      <c r="G42" t="s">
        <v>63</v>
      </c>
      <c r="H42" t="s">
        <v>64</v>
      </c>
      <c r="I42" t="s">
        <v>65</v>
      </c>
      <c r="J42" t="s">
        <v>66</v>
      </c>
      <c r="K42" t="s">
        <v>126</v>
      </c>
      <c r="L42" t="s">
        <v>159</v>
      </c>
      <c r="M42" t="s">
        <v>160</v>
      </c>
      <c r="N42" t="str">
        <f>[1]!f_info_reitsoriginal(L42,1)</f>
        <v>中交第二公路勘察设计研究院有限公司</v>
      </c>
      <c r="O42" t="s">
        <v>70</v>
      </c>
      <c r="P42" t="s">
        <v>71</v>
      </c>
      <c r="Q42" s="1">
        <v>1.1906000000000001</v>
      </c>
      <c r="R42" s="1">
        <v>1.1984999999999999</v>
      </c>
      <c r="S42" s="1">
        <v>1.2508999999999999</v>
      </c>
      <c r="T42" t="s">
        <v>71</v>
      </c>
      <c r="U42" t="s">
        <v>71</v>
      </c>
      <c r="V42" t="s">
        <v>71</v>
      </c>
      <c r="W42" t="s">
        <v>72</v>
      </c>
      <c r="X42" t="s">
        <v>73</v>
      </c>
      <c r="Y42" t="s">
        <v>74</v>
      </c>
      <c r="Z42" t="s">
        <v>74</v>
      </c>
      <c r="AA42" s="2">
        <v>5.5410000000000004</v>
      </c>
      <c r="AB42" s="3">
        <v>1076494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5.52</v>
      </c>
      <c r="AJ42" s="3">
        <v>5940091.3399999999</v>
      </c>
      <c r="AK42" s="3">
        <v>24761.91</v>
      </c>
      <c r="AL42" s="4">
        <v>0.42</v>
      </c>
      <c r="AM42" s="4">
        <v>0</v>
      </c>
      <c r="AN42" s="4">
        <v>0</v>
      </c>
      <c r="AO42" s="3">
        <v>-39314.339999999997</v>
      </c>
      <c r="AP42" s="4">
        <v>-0.66</v>
      </c>
      <c r="AQ42" s="3">
        <v>-64076.25</v>
      </c>
      <c r="AR42" s="4">
        <v>-1.08</v>
      </c>
      <c r="AS42" s="3">
        <v>5964853.25</v>
      </c>
      <c r="AT42" t="s">
        <v>75</v>
      </c>
      <c r="AU42" t="s">
        <v>129</v>
      </c>
      <c r="AV42" t="s">
        <v>130</v>
      </c>
      <c r="AW42" t="s">
        <v>71</v>
      </c>
      <c r="AX42" t="s">
        <v>71</v>
      </c>
      <c r="AY42" t="s">
        <v>71</v>
      </c>
      <c r="AZ42" t="s">
        <v>71</v>
      </c>
      <c r="BA42" t="s">
        <v>71</v>
      </c>
      <c r="BB42" t="s">
        <v>60</v>
      </c>
      <c r="BC42" s="3">
        <v>5940091.3399999999</v>
      </c>
      <c r="BD42" s="3">
        <v>5940091.3399999999</v>
      </c>
      <c r="BE42" s="4">
        <v>5.52</v>
      </c>
      <c r="BF42" s="4">
        <v>5.52</v>
      </c>
    </row>
    <row r="43" spans="1:58" x14ac:dyDescent="0.55000000000000004">
      <c r="A43" t="s">
        <v>57</v>
      </c>
      <c r="B43" t="s">
        <v>58</v>
      </c>
      <c r="C43" t="s">
        <v>59</v>
      </c>
      <c r="D43" t="s">
        <v>60</v>
      </c>
      <c r="E43" t="s">
        <v>61</v>
      </c>
      <c r="F43" t="s">
        <v>62</v>
      </c>
      <c r="G43" t="s">
        <v>63</v>
      </c>
      <c r="H43" t="s">
        <v>64</v>
      </c>
      <c r="I43" t="s">
        <v>65</v>
      </c>
      <c r="J43" t="s">
        <v>66</v>
      </c>
      <c r="K43" t="s">
        <v>126</v>
      </c>
      <c r="L43" t="s">
        <v>161</v>
      </c>
      <c r="M43" t="s">
        <v>162</v>
      </c>
      <c r="N43" t="str">
        <f>[1]!f_info_reitsoriginal(L43,1)</f>
        <v>上海临港奉贤经济发展有限公司</v>
      </c>
      <c r="O43" t="s">
        <v>70</v>
      </c>
      <c r="P43" t="s">
        <v>71</v>
      </c>
      <c r="Q43" s="1">
        <v>0.76770000000000005</v>
      </c>
      <c r="R43" s="1">
        <v>0.77280000000000004</v>
      </c>
      <c r="S43" s="1">
        <v>0.80659999999999998</v>
      </c>
      <c r="T43" t="s">
        <v>71</v>
      </c>
      <c r="U43" t="s">
        <v>71</v>
      </c>
      <c r="V43" t="s">
        <v>71</v>
      </c>
      <c r="W43" t="s">
        <v>72</v>
      </c>
      <c r="X43" t="s">
        <v>73</v>
      </c>
      <c r="Y43" t="s">
        <v>74</v>
      </c>
      <c r="Z43" t="s">
        <v>74</v>
      </c>
      <c r="AA43" s="2">
        <v>4.3250000000000002</v>
      </c>
      <c r="AB43" s="3">
        <v>889316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4.57</v>
      </c>
      <c r="AJ43" s="3">
        <v>4062252.39</v>
      </c>
      <c r="AK43" s="3">
        <v>-215960.69</v>
      </c>
      <c r="AL43" s="4">
        <v>-5.32</v>
      </c>
      <c r="AM43" s="4">
        <v>0</v>
      </c>
      <c r="AN43" s="4">
        <v>0</v>
      </c>
      <c r="AO43" s="3">
        <v>-238194.27</v>
      </c>
      <c r="AP43" s="4">
        <v>-5.86</v>
      </c>
      <c r="AQ43" s="3">
        <v>-22233.58</v>
      </c>
      <c r="AR43" s="4">
        <v>-0.55000000000000004</v>
      </c>
      <c r="AS43" s="3">
        <v>3846291.7</v>
      </c>
      <c r="AT43" t="s">
        <v>75</v>
      </c>
      <c r="AU43" t="s">
        <v>129</v>
      </c>
      <c r="AV43" t="s">
        <v>130</v>
      </c>
      <c r="AW43" t="s">
        <v>71</v>
      </c>
      <c r="AX43" t="s">
        <v>71</v>
      </c>
      <c r="AY43" t="s">
        <v>71</v>
      </c>
      <c r="AZ43" t="s">
        <v>71</v>
      </c>
      <c r="BA43" t="s">
        <v>71</v>
      </c>
      <c r="BB43" t="s">
        <v>60</v>
      </c>
      <c r="BC43" s="3">
        <v>4062252.39</v>
      </c>
      <c r="BD43" s="3">
        <v>4062252.39</v>
      </c>
      <c r="BE43" s="4">
        <v>4.57</v>
      </c>
      <c r="BF43" s="4">
        <v>4.57</v>
      </c>
    </row>
    <row r="44" spans="1:58" x14ac:dyDescent="0.55000000000000004">
      <c r="A44" t="s">
        <v>57</v>
      </c>
      <c r="B44" t="s">
        <v>58</v>
      </c>
      <c r="C44" t="s">
        <v>59</v>
      </c>
      <c r="D44" t="s">
        <v>60</v>
      </c>
      <c r="E44" t="s">
        <v>61</v>
      </c>
      <c r="F44" t="s">
        <v>62</v>
      </c>
      <c r="G44" t="s">
        <v>63</v>
      </c>
      <c r="H44" t="s">
        <v>64</v>
      </c>
      <c r="I44" t="s">
        <v>65</v>
      </c>
      <c r="J44" t="s">
        <v>66</v>
      </c>
      <c r="K44" t="s">
        <v>126</v>
      </c>
      <c r="L44" t="s">
        <v>163</v>
      </c>
      <c r="M44" t="s">
        <v>164</v>
      </c>
      <c r="N44" t="str">
        <f>[1]!f_info_reitsoriginal(L44,1)</f>
        <v>天津泰达科技工业园有限公司</v>
      </c>
      <c r="O44" t="s">
        <v>70</v>
      </c>
      <c r="P44" t="s">
        <v>71</v>
      </c>
      <c r="Q44" s="1">
        <v>1.2188000000000001</v>
      </c>
      <c r="R44" s="1">
        <v>1.2269000000000001</v>
      </c>
      <c r="S44" s="1">
        <v>1.2805</v>
      </c>
      <c r="T44" t="s">
        <v>71</v>
      </c>
      <c r="U44" t="s">
        <v>71</v>
      </c>
      <c r="V44" t="s">
        <v>71</v>
      </c>
      <c r="W44" t="s">
        <v>72</v>
      </c>
      <c r="X44" t="s">
        <v>73</v>
      </c>
      <c r="Y44" t="s">
        <v>74</v>
      </c>
      <c r="Z44" t="s">
        <v>74</v>
      </c>
      <c r="AA44" s="2">
        <v>3.46</v>
      </c>
      <c r="AB44" s="3">
        <v>1764800</v>
      </c>
      <c r="AC44" s="4">
        <v>0</v>
      </c>
      <c r="AD44" s="4">
        <v>0</v>
      </c>
      <c r="AE44" s="4">
        <v>0</v>
      </c>
      <c r="AF44" s="4">
        <v>0</v>
      </c>
      <c r="AG44" s="4">
        <v>0</v>
      </c>
      <c r="AH44" s="4">
        <v>0</v>
      </c>
      <c r="AI44" s="4">
        <v>3.53</v>
      </c>
      <c r="AJ44" s="3">
        <v>6231750.4800000004</v>
      </c>
      <c r="AK44" s="3">
        <v>-125542.48</v>
      </c>
      <c r="AL44" s="4">
        <v>-2.0099999999999998</v>
      </c>
      <c r="AM44" s="4">
        <v>0</v>
      </c>
      <c r="AN44" s="4">
        <v>0</v>
      </c>
      <c r="AO44" s="3">
        <v>-129590.66</v>
      </c>
      <c r="AP44" s="4">
        <v>-2.08</v>
      </c>
      <c r="AQ44" s="3">
        <v>-4048.18</v>
      </c>
      <c r="AR44" s="4">
        <v>-0.06</v>
      </c>
      <c r="AS44" s="3">
        <v>6106208</v>
      </c>
      <c r="AT44" t="s">
        <v>75</v>
      </c>
      <c r="AU44" t="s">
        <v>129</v>
      </c>
      <c r="AV44" t="s">
        <v>130</v>
      </c>
      <c r="AW44" t="s">
        <v>71</v>
      </c>
      <c r="AX44" t="s">
        <v>71</v>
      </c>
      <c r="AY44" t="s">
        <v>71</v>
      </c>
      <c r="AZ44" t="s">
        <v>71</v>
      </c>
      <c r="BA44" t="s">
        <v>71</v>
      </c>
      <c r="BB44" t="s">
        <v>60</v>
      </c>
      <c r="BC44" s="3">
        <v>6231750.4800000004</v>
      </c>
      <c r="BD44" s="3">
        <v>6231750.4800000004</v>
      </c>
      <c r="BE44" s="4">
        <v>3.53</v>
      </c>
      <c r="BF44" s="4">
        <v>3.53</v>
      </c>
    </row>
    <row r="45" spans="1:58" x14ac:dyDescent="0.55000000000000004">
      <c r="A45" t="s">
        <v>57</v>
      </c>
      <c r="B45" t="s">
        <v>58</v>
      </c>
      <c r="C45" t="s">
        <v>59</v>
      </c>
      <c r="D45" t="s">
        <v>60</v>
      </c>
      <c r="E45" t="s">
        <v>61</v>
      </c>
      <c r="F45" t="s">
        <v>62</v>
      </c>
      <c r="G45" t="s">
        <v>63</v>
      </c>
      <c r="H45" t="s">
        <v>64</v>
      </c>
      <c r="I45" t="s">
        <v>65</v>
      </c>
      <c r="J45" t="s">
        <v>66</v>
      </c>
      <c r="K45" t="s">
        <v>126</v>
      </c>
      <c r="L45" t="s">
        <v>165</v>
      </c>
      <c r="M45" t="s">
        <v>166</v>
      </c>
      <c r="N45" t="str">
        <f>[1]!f_info_reitsoriginal(L45,1)</f>
        <v>中电建水电开发集团有限公司</v>
      </c>
      <c r="O45" t="s">
        <v>70</v>
      </c>
      <c r="P45" t="s">
        <v>71</v>
      </c>
      <c r="Q45" s="1">
        <v>0.55989999999999995</v>
      </c>
      <c r="R45" s="1">
        <v>0.56359999999999999</v>
      </c>
      <c r="S45" s="1">
        <v>0.58819999999999995</v>
      </c>
      <c r="T45" t="s">
        <v>71</v>
      </c>
      <c r="U45" t="s">
        <v>71</v>
      </c>
      <c r="V45" t="s">
        <v>71</v>
      </c>
      <c r="W45" t="s">
        <v>72</v>
      </c>
      <c r="X45" t="s">
        <v>73</v>
      </c>
      <c r="Y45" t="s">
        <v>74</v>
      </c>
      <c r="Z45" t="s">
        <v>74</v>
      </c>
      <c r="AA45" s="2">
        <v>4.133</v>
      </c>
      <c r="AB45" s="3">
        <v>678655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4.2</v>
      </c>
      <c r="AJ45" s="3">
        <v>2850156.28</v>
      </c>
      <c r="AK45" s="3">
        <v>-45275.16</v>
      </c>
      <c r="AL45" s="4">
        <v>-1.59</v>
      </c>
      <c r="AM45" s="4">
        <v>0</v>
      </c>
      <c r="AN45" s="4">
        <v>0</v>
      </c>
      <c r="AO45" s="3">
        <v>-211716.21</v>
      </c>
      <c r="AP45" s="4">
        <v>-7.43</v>
      </c>
      <c r="AQ45" s="3">
        <v>-166441.04999999999</v>
      </c>
      <c r="AR45" s="4">
        <v>-5.84</v>
      </c>
      <c r="AS45" s="3">
        <v>2804881.12</v>
      </c>
      <c r="AT45" t="s">
        <v>75</v>
      </c>
      <c r="AU45" t="s">
        <v>129</v>
      </c>
      <c r="AV45" t="s">
        <v>130</v>
      </c>
      <c r="AW45" t="s">
        <v>71</v>
      </c>
      <c r="AX45" t="s">
        <v>71</v>
      </c>
      <c r="AY45" t="s">
        <v>71</v>
      </c>
      <c r="AZ45" t="s">
        <v>71</v>
      </c>
      <c r="BA45" t="s">
        <v>71</v>
      </c>
      <c r="BB45" t="s">
        <v>60</v>
      </c>
      <c r="BC45" s="3">
        <v>2850156.28</v>
      </c>
      <c r="BD45" s="3">
        <v>2850156.28</v>
      </c>
      <c r="BE45" s="4">
        <v>4.2</v>
      </c>
      <c r="BF45" s="4">
        <v>4.2</v>
      </c>
    </row>
    <row r="46" spans="1:58" x14ac:dyDescent="0.55000000000000004">
      <c r="A46" t="s">
        <v>57</v>
      </c>
      <c r="B46" t="s">
        <v>58</v>
      </c>
      <c r="C46" t="s">
        <v>59</v>
      </c>
      <c r="D46" t="s">
        <v>60</v>
      </c>
      <c r="E46" t="s">
        <v>61</v>
      </c>
      <c r="F46" t="s">
        <v>62</v>
      </c>
      <c r="G46" t="s">
        <v>63</v>
      </c>
      <c r="H46" t="s">
        <v>64</v>
      </c>
      <c r="I46" t="s">
        <v>65</v>
      </c>
      <c r="J46" t="s">
        <v>66</v>
      </c>
      <c r="K46" t="s">
        <v>126</v>
      </c>
      <c r="L46" t="s">
        <v>167</v>
      </c>
      <c r="M46" t="s">
        <v>168</v>
      </c>
      <c r="N46" t="str">
        <f>[1]!f_info_reitsoriginal(L46,1)</f>
        <v>苏州工业园区建屋产业园开发有限公司</v>
      </c>
      <c r="O46" t="s">
        <v>70</v>
      </c>
      <c r="P46" t="s">
        <v>71</v>
      </c>
      <c r="Q46" s="1">
        <v>0.30399999999999999</v>
      </c>
      <c r="R46" s="1">
        <v>0.30609999999999998</v>
      </c>
      <c r="S46" s="1">
        <v>0.31940000000000002</v>
      </c>
      <c r="T46" t="s">
        <v>71</v>
      </c>
      <c r="U46" t="s">
        <v>71</v>
      </c>
      <c r="V46" t="s">
        <v>71</v>
      </c>
      <c r="W46" t="s">
        <v>72</v>
      </c>
      <c r="X46" t="s">
        <v>73</v>
      </c>
      <c r="Y46" t="s">
        <v>74</v>
      </c>
      <c r="Z46" t="s">
        <v>74</v>
      </c>
      <c r="AA46" s="2">
        <v>2.7829999999999999</v>
      </c>
      <c r="AB46" s="3">
        <v>547328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2.96</v>
      </c>
      <c r="AJ46" s="3">
        <v>1617525.73</v>
      </c>
      <c r="AK46" s="3">
        <v>-94311.91</v>
      </c>
      <c r="AL46" s="4">
        <v>-5.83</v>
      </c>
      <c r="AM46" s="4">
        <v>0</v>
      </c>
      <c r="AN46" s="4">
        <v>0</v>
      </c>
      <c r="AO46" s="3">
        <v>-130284.96</v>
      </c>
      <c r="AP46" s="4">
        <v>-8.0500000000000007</v>
      </c>
      <c r="AQ46" s="3">
        <v>-35973.050000000003</v>
      </c>
      <c r="AR46" s="4">
        <v>-2.2200000000000002</v>
      </c>
      <c r="AS46" s="3">
        <v>1523213.82</v>
      </c>
      <c r="AT46" t="s">
        <v>75</v>
      </c>
      <c r="AU46" t="s">
        <v>129</v>
      </c>
      <c r="AV46" t="s">
        <v>130</v>
      </c>
      <c r="AW46" t="s">
        <v>71</v>
      </c>
      <c r="AX46" t="s">
        <v>71</v>
      </c>
      <c r="AY46" t="s">
        <v>71</v>
      </c>
      <c r="AZ46" t="s">
        <v>71</v>
      </c>
      <c r="BA46" t="s">
        <v>71</v>
      </c>
      <c r="BB46" t="s">
        <v>60</v>
      </c>
      <c r="BC46" s="3">
        <v>1617525.73</v>
      </c>
      <c r="BD46" s="3">
        <v>1617525.73</v>
      </c>
      <c r="BE46" s="4">
        <v>2.96</v>
      </c>
      <c r="BF46" s="4">
        <v>2.96</v>
      </c>
    </row>
    <row r="47" spans="1:58" x14ac:dyDescent="0.55000000000000004">
      <c r="A47" t="s">
        <v>57</v>
      </c>
      <c r="B47" t="s">
        <v>58</v>
      </c>
      <c r="C47" t="s">
        <v>59</v>
      </c>
      <c r="D47" t="s">
        <v>60</v>
      </c>
      <c r="E47" t="s">
        <v>61</v>
      </c>
      <c r="F47" t="s">
        <v>62</v>
      </c>
      <c r="G47" t="s">
        <v>63</v>
      </c>
      <c r="H47" t="s">
        <v>64</v>
      </c>
      <c r="I47" t="s">
        <v>65</v>
      </c>
      <c r="J47" t="s">
        <v>66</v>
      </c>
      <c r="K47" t="s">
        <v>126</v>
      </c>
      <c r="L47" t="s">
        <v>169</v>
      </c>
      <c r="M47" t="s">
        <v>170</v>
      </c>
      <c r="N47" t="str">
        <f>[1]!f_info_reitsoriginal(L47,1)</f>
        <v>国家电投集团江苏电力有限公司</v>
      </c>
      <c r="O47" t="s">
        <v>70</v>
      </c>
      <c r="P47" t="s">
        <v>71</v>
      </c>
      <c r="Q47" s="1">
        <v>0.52549999999999997</v>
      </c>
      <c r="R47" s="1">
        <v>0.52900000000000003</v>
      </c>
      <c r="S47" s="1">
        <v>0.55210000000000004</v>
      </c>
      <c r="T47" t="s">
        <v>71</v>
      </c>
      <c r="U47" t="s">
        <v>71</v>
      </c>
      <c r="V47" t="s">
        <v>71</v>
      </c>
      <c r="W47" t="s">
        <v>72</v>
      </c>
      <c r="X47" t="s">
        <v>73</v>
      </c>
      <c r="Y47" t="s">
        <v>74</v>
      </c>
      <c r="Z47" t="s">
        <v>74</v>
      </c>
      <c r="AA47" s="2">
        <v>10.555</v>
      </c>
      <c r="AB47" s="3">
        <v>249448</v>
      </c>
      <c r="AC47" s="4">
        <v>0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>
        <v>10.57</v>
      </c>
      <c r="AJ47" s="3">
        <v>2635967.15</v>
      </c>
      <c r="AK47" s="3">
        <v>-3043.51</v>
      </c>
      <c r="AL47" s="4">
        <v>-0.12</v>
      </c>
      <c r="AM47" s="4">
        <v>0</v>
      </c>
      <c r="AN47" s="4">
        <v>0</v>
      </c>
      <c r="AO47" s="3">
        <v>-186269.08</v>
      </c>
      <c r="AP47" s="4">
        <v>-7.07</v>
      </c>
      <c r="AQ47" s="3">
        <v>-183225.57</v>
      </c>
      <c r="AR47" s="4">
        <v>-6.95</v>
      </c>
      <c r="AS47" s="3">
        <v>2632923.64</v>
      </c>
      <c r="AT47" t="s">
        <v>75</v>
      </c>
      <c r="AU47" t="s">
        <v>129</v>
      </c>
      <c r="AV47" t="s">
        <v>130</v>
      </c>
      <c r="AW47" t="s">
        <v>71</v>
      </c>
      <c r="AX47" t="s">
        <v>71</v>
      </c>
      <c r="AY47" t="s">
        <v>71</v>
      </c>
      <c r="AZ47" t="s">
        <v>71</v>
      </c>
      <c r="BA47" t="s">
        <v>71</v>
      </c>
      <c r="BB47" t="s">
        <v>60</v>
      </c>
      <c r="BC47" s="3">
        <v>2635967.15</v>
      </c>
      <c r="BD47" s="3">
        <v>2635967.15</v>
      </c>
      <c r="BE47" s="4">
        <v>10.57</v>
      </c>
      <c r="BF47" s="4">
        <v>10.57</v>
      </c>
    </row>
    <row r="48" spans="1:58" x14ac:dyDescent="0.55000000000000004">
      <c r="A48" t="s">
        <v>57</v>
      </c>
      <c r="B48" t="s">
        <v>58</v>
      </c>
      <c r="C48" t="s">
        <v>59</v>
      </c>
      <c r="D48" t="s">
        <v>60</v>
      </c>
      <c r="E48" t="s">
        <v>61</v>
      </c>
      <c r="F48" t="s">
        <v>62</v>
      </c>
      <c r="G48" t="s">
        <v>63</v>
      </c>
      <c r="H48" t="s">
        <v>64</v>
      </c>
      <c r="I48" t="s">
        <v>65</v>
      </c>
      <c r="J48" t="s">
        <v>66</v>
      </c>
      <c r="K48" t="s">
        <v>126</v>
      </c>
      <c r="L48" t="s">
        <v>171</v>
      </c>
      <c r="M48" t="s">
        <v>172</v>
      </c>
      <c r="N48" t="str">
        <f>[1]!f_info_reitsoriginal(L48,1)</f>
        <v>上海城投房屋租赁有限公司</v>
      </c>
      <c r="O48" t="s">
        <v>70</v>
      </c>
      <c r="P48" t="s">
        <v>71</v>
      </c>
      <c r="Q48" s="1">
        <v>1.4175</v>
      </c>
      <c r="R48" s="1">
        <v>1.427</v>
      </c>
      <c r="S48" s="1">
        <v>1.4893000000000001</v>
      </c>
      <c r="T48" t="s">
        <v>71</v>
      </c>
      <c r="U48" t="s">
        <v>71</v>
      </c>
      <c r="V48" t="s">
        <v>71</v>
      </c>
      <c r="W48" t="s">
        <v>72</v>
      </c>
      <c r="X48" t="s">
        <v>73</v>
      </c>
      <c r="Y48" t="s">
        <v>74</v>
      </c>
      <c r="Z48" t="s">
        <v>74</v>
      </c>
      <c r="AA48" s="2">
        <v>3.742</v>
      </c>
      <c r="AB48" s="3">
        <v>1897864</v>
      </c>
      <c r="AC48" s="4">
        <v>0</v>
      </c>
      <c r="AD48" s="4">
        <v>0</v>
      </c>
      <c r="AE48" s="4">
        <v>0</v>
      </c>
      <c r="AF48" s="4">
        <v>0</v>
      </c>
      <c r="AG48" s="4">
        <v>0</v>
      </c>
      <c r="AH48" s="4">
        <v>0</v>
      </c>
      <c r="AI48" s="4">
        <v>3.95</v>
      </c>
      <c r="AJ48" s="3">
        <v>7489893.6299999999</v>
      </c>
      <c r="AK48" s="3">
        <v>-388086.54</v>
      </c>
      <c r="AL48" s="4">
        <v>-5.18</v>
      </c>
      <c r="AM48" s="4">
        <v>0</v>
      </c>
      <c r="AN48" s="4">
        <v>0</v>
      </c>
      <c r="AO48" s="3">
        <v>-556323.91</v>
      </c>
      <c r="AP48" s="4">
        <v>-7.43</v>
      </c>
      <c r="AQ48" s="3">
        <v>-168237.37</v>
      </c>
      <c r="AR48" s="4">
        <v>-2.25</v>
      </c>
      <c r="AS48" s="3">
        <v>7101807.0899999999</v>
      </c>
      <c r="AT48" t="s">
        <v>75</v>
      </c>
      <c r="AU48" t="s">
        <v>129</v>
      </c>
      <c r="AV48" t="s">
        <v>130</v>
      </c>
      <c r="AW48" t="s">
        <v>71</v>
      </c>
      <c r="AX48" t="s">
        <v>71</v>
      </c>
      <c r="AY48" t="s">
        <v>71</v>
      </c>
      <c r="AZ48" t="s">
        <v>71</v>
      </c>
      <c r="BA48" t="s">
        <v>71</v>
      </c>
      <c r="BB48" t="s">
        <v>60</v>
      </c>
      <c r="BC48" s="3">
        <v>7489893.6299999999</v>
      </c>
      <c r="BD48" s="3">
        <v>7489893.6299999999</v>
      </c>
      <c r="BE48" s="4">
        <v>3.95</v>
      </c>
      <c r="BF48" s="4">
        <v>3.95</v>
      </c>
    </row>
    <row r="49" spans="1:58" x14ac:dyDescent="0.55000000000000004">
      <c r="A49" t="s">
        <v>57</v>
      </c>
      <c r="B49" t="s">
        <v>58</v>
      </c>
      <c r="C49" t="s">
        <v>59</v>
      </c>
      <c r="D49" t="s">
        <v>60</v>
      </c>
      <c r="E49" t="s">
        <v>61</v>
      </c>
      <c r="F49" t="s">
        <v>62</v>
      </c>
      <c r="G49" t="s">
        <v>63</v>
      </c>
      <c r="H49" t="s">
        <v>64</v>
      </c>
      <c r="I49" t="s">
        <v>65</v>
      </c>
      <c r="J49" t="s">
        <v>66</v>
      </c>
      <c r="K49" t="s">
        <v>126</v>
      </c>
      <c r="L49" t="s">
        <v>173</v>
      </c>
      <c r="M49" t="s">
        <v>174</v>
      </c>
      <c r="N49" t="str">
        <f>[1]!f_info_reitsoriginal(L49,1)</f>
        <v>深圳高速公路集团股份有限公司</v>
      </c>
      <c r="O49" t="s">
        <v>70</v>
      </c>
      <c r="P49" t="s">
        <v>71</v>
      </c>
      <c r="Q49" s="1">
        <v>0.35820000000000002</v>
      </c>
      <c r="R49" s="1">
        <v>0.36059999999999998</v>
      </c>
      <c r="S49" s="1">
        <v>0.37640000000000001</v>
      </c>
      <c r="T49" t="s">
        <v>71</v>
      </c>
      <c r="U49" t="s">
        <v>71</v>
      </c>
      <c r="V49" t="s">
        <v>71</v>
      </c>
      <c r="W49" t="s">
        <v>72</v>
      </c>
      <c r="X49" t="s">
        <v>73</v>
      </c>
      <c r="Y49" t="s">
        <v>74</v>
      </c>
      <c r="Z49" t="s">
        <v>74</v>
      </c>
      <c r="AA49" s="2">
        <v>6.4729999999999999</v>
      </c>
      <c r="AB49" s="3">
        <v>277280</v>
      </c>
      <c r="AC49" s="4">
        <v>0</v>
      </c>
      <c r="AD49" s="4">
        <v>0</v>
      </c>
      <c r="AE49" s="4">
        <v>0</v>
      </c>
      <c r="AF49" s="4">
        <v>0</v>
      </c>
      <c r="AG49" s="4">
        <v>0</v>
      </c>
      <c r="AH49" s="4">
        <v>0</v>
      </c>
      <c r="AI49" s="4">
        <v>6.37</v>
      </c>
      <c r="AJ49" s="3">
        <v>1766448.82</v>
      </c>
      <c r="AK49" s="3">
        <v>28384.62</v>
      </c>
      <c r="AL49" s="4">
        <v>1.61</v>
      </c>
      <c r="AM49" s="4">
        <v>0</v>
      </c>
      <c r="AN49" s="4">
        <v>0</v>
      </c>
      <c r="AO49" s="3">
        <v>13579.21</v>
      </c>
      <c r="AP49" s="4">
        <v>0.77</v>
      </c>
      <c r="AQ49" s="3">
        <v>-14805.41</v>
      </c>
      <c r="AR49" s="4">
        <v>-0.84</v>
      </c>
      <c r="AS49" s="3">
        <v>1794833.44</v>
      </c>
      <c r="AT49" t="s">
        <v>75</v>
      </c>
      <c r="AU49" t="s">
        <v>129</v>
      </c>
      <c r="AV49" t="s">
        <v>130</v>
      </c>
      <c r="AW49" t="s">
        <v>71</v>
      </c>
      <c r="AX49" t="s">
        <v>71</v>
      </c>
      <c r="AY49" t="s">
        <v>71</v>
      </c>
      <c r="AZ49" t="s">
        <v>71</v>
      </c>
      <c r="BA49" t="s">
        <v>71</v>
      </c>
      <c r="BB49" t="s">
        <v>60</v>
      </c>
      <c r="BC49" s="3">
        <v>1766448.82</v>
      </c>
      <c r="BD49" s="3">
        <v>1766448.82</v>
      </c>
      <c r="BE49" s="4">
        <v>6.37</v>
      </c>
      <c r="BF49" s="4">
        <v>6.37</v>
      </c>
    </row>
    <row r="50" spans="1:58" x14ac:dyDescent="0.55000000000000004">
      <c r="A50" t="s">
        <v>57</v>
      </c>
      <c r="B50" t="s">
        <v>58</v>
      </c>
      <c r="C50" t="s">
        <v>59</v>
      </c>
      <c r="D50" t="s">
        <v>60</v>
      </c>
      <c r="E50" t="s">
        <v>61</v>
      </c>
      <c r="F50" t="s">
        <v>62</v>
      </c>
      <c r="G50" t="s">
        <v>63</v>
      </c>
      <c r="H50" t="s">
        <v>64</v>
      </c>
      <c r="I50" t="s">
        <v>65</v>
      </c>
      <c r="J50" t="s">
        <v>66</v>
      </c>
      <c r="K50" t="s">
        <v>126</v>
      </c>
      <c r="L50" t="s">
        <v>175</v>
      </c>
      <c r="M50" t="s">
        <v>176</v>
      </c>
      <c r="N50" t="str">
        <f>[1]!f_info_reitsoriginal(L50,1)</f>
        <v>宁波交通投资集团有限公司</v>
      </c>
      <c r="O50" t="s">
        <v>70</v>
      </c>
      <c r="P50" t="s">
        <v>71</v>
      </c>
      <c r="Q50" s="1">
        <v>1.1345000000000001</v>
      </c>
      <c r="R50" s="1">
        <v>1.1420999999999999</v>
      </c>
      <c r="S50" s="1">
        <v>1.1919</v>
      </c>
      <c r="T50" t="s">
        <v>71</v>
      </c>
      <c r="U50" t="s">
        <v>71</v>
      </c>
      <c r="V50" t="s">
        <v>71</v>
      </c>
      <c r="W50" t="s">
        <v>72</v>
      </c>
      <c r="X50" t="s">
        <v>73</v>
      </c>
      <c r="Y50" t="s">
        <v>74</v>
      </c>
      <c r="Z50" t="s">
        <v>74</v>
      </c>
      <c r="AA50" s="2">
        <v>8.798</v>
      </c>
      <c r="AB50" s="3">
        <v>646052</v>
      </c>
      <c r="AC50" s="4">
        <v>0</v>
      </c>
      <c r="AD50" s="4">
        <v>0</v>
      </c>
      <c r="AE50" s="4">
        <v>0</v>
      </c>
      <c r="AF50" s="4">
        <v>0</v>
      </c>
      <c r="AG50" s="4">
        <v>0</v>
      </c>
      <c r="AH50" s="4">
        <v>0</v>
      </c>
      <c r="AI50" s="4">
        <v>9.11</v>
      </c>
      <c r="AJ50" s="3">
        <v>5883305.0700000003</v>
      </c>
      <c r="AK50" s="3">
        <v>-199339.57</v>
      </c>
      <c r="AL50" s="4">
        <v>-3.39</v>
      </c>
      <c r="AM50" s="4">
        <v>0</v>
      </c>
      <c r="AN50" s="4">
        <v>0</v>
      </c>
      <c r="AO50" s="3">
        <v>-262513.13</v>
      </c>
      <c r="AP50" s="4">
        <v>-4.46</v>
      </c>
      <c r="AQ50" s="3">
        <v>-63173.56</v>
      </c>
      <c r="AR50" s="4">
        <v>-1.07</v>
      </c>
      <c r="AS50" s="3">
        <v>5683965.5</v>
      </c>
      <c r="AT50" t="s">
        <v>75</v>
      </c>
      <c r="AU50" t="s">
        <v>129</v>
      </c>
      <c r="AV50" t="s">
        <v>130</v>
      </c>
      <c r="AW50" t="s">
        <v>71</v>
      </c>
      <c r="AX50" t="s">
        <v>71</v>
      </c>
      <c r="AY50" t="s">
        <v>71</v>
      </c>
      <c r="AZ50" t="s">
        <v>71</v>
      </c>
      <c r="BA50" t="s">
        <v>71</v>
      </c>
      <c r="BB50" t="s">
        <v>60</v>
      </c>
      <c r="BC50" s="3">
        <v>5883305.0700000003</v>
      </c>
      <c r="BD50" s="3">
        <v>5883305.0700000003</v>
      </c>
      <c r="BE50" s="4">
        <v>9.11</v>
      </c>
      <c r="BF50" s="4">
        <v>9.11</v>
      </c>
    </row>
    <row r="51" spans="1:58" x14ac:dyDescent="0.55000000000000004">
      <c r="A51" t="s">
        <v>57</v>
      </c>
      <c r="B51" t="s">
        <v>58</v>
      </c>
      <c r="C51" t="s">
        <v>59</v>
      </c>
      <c r="D51" t="s">
        <v>60</v>
      </c>
      <c r="E51" t="s">
        <v>61</v>
      </c>
      <c r="F51" t="s">
        <v>62</v>
      </c>
      <c r="G51" t="s">
        <v>63</v>
      </c>
      <c r="H51" t="s">
        <v>64</v>
      </c>
      <c r="I51" t="s">
        <v>65</v>
      </c>
      <c r="J51" t="s">
        <v>66</v>
      </c>
      <c r="K51" t="s">
        <v>126</v>
      </c>
      <c r="L51" t="s">
        <v>177</v>
      </c>
      <c r="M51" t="s">
        <v>178</v>
      </c>
      <c r="N51" t="str">
        <f>[1]!f_info_reitsoriginal(L51,1)</f>
        <v>北京首农信息产业投资有限公司</v>
      </c>
      <c r="O51" t="s">
        <v>70</v>
      </c>
      <c r="P51" t="s">
        <v>71</v>
      </c>
      <c r="Q51" s="1">
        <v>1.5772999999999999</v>
      </c>
      <c r="R51" s="1">
        <v>1.5878000000000001</v>
      </c>
      <c r="S51" s="1">
        <v>1.6572</v>
      </c>
      <c r="T51" t="s">
        <v>71</v>
      </c>
      <c r="U51" t="s">
        <v>71</v>
      </c>
      <c r="V51" t="s">
        <v>71</v>
      </c>
      <c r="W51" t="s">
        <v>72</v>
      </c>
      <c r="X51" t="s">
        <v>73</v>
      </c>
      <c r="Y51" t="s">
        <v>74</v>
      </c>
      <c r="Z51" t="s">
        <v>74</v>
      </c>
      <c r="AA51" s="2">
        <v>4.9610000000000003</v>
      </c>
      <c r="AB51" s="3">
        <v>1592915</v>
      </c>
      <c r="AC51" s="4">
        <v>0</v>
      </c>
      <c r="AD51" s="4">
        <v>0</v>
      </c>
      <c r="AE51" s="4">
        <v>0</v>
      </c>
      <c r="AF51" s="4">
        <v>0</v>
      </c>
      <c r="AG51" s="4">
        <v>0</v>
      </c>
      <c r="AH51" s="4">
        <v>0</v>
      </c>
      <c r="AI51" s="4">
        <v>5.0999999999999996</v>
      </c>
      <c r="AJ51" s="3">
        <v>8127329.3700000001</v>
      </c>
      <c r="AK51" s="3">
        <v>-224878.05</v>
      </c>
      <c r="AL51" s="4">
        <v>-2.77</v>
      </c>
      <c r="AM51" s="4">
        <v>0</v>
      </c>
      <c r="AN51" s="4">
        <v>0</v>
      </c>
      <c r="AO51" s="3">
        <v>-264561.83</v>
      </c>
      <c r="AP51" s="4">
        <v>-3.26</v>
      </c>
      <c r="AQ51" s="3">
        <v>-39683.78</v>
      </c>
      <c r="AR51" s="4">
        <v>-0.49</v>
      </c>
      <c r="AS51" s="3">
        <v>7902451.3200000003</v>
      </c>
      <c r="AT51" t="s">
        <v>75</v>
      </c>
      <c r="AU51" t="s">
        <v>129</v>
      </c>
      <c r="AV51" t="s">
        <v>130</v>
      </c>
      <c r="AW51" t="s">
        <v>71</v>
      </c>
      <c r="AX51" t="s">
        <v>71</v>
      </c>
      <c r="AY51" t="s">
        <v>71</v>
      </c>
      <c r="AZ51" t="s">
        <v>71</v>
      </c>
      <c r="BA51" t="s">
        <v>71</v>
      </c>
      <c r="BB51" t="s">
        <v>60</v>
      </c>
      <c r="BC51" s="3">
        <v>8127329.3700000001</v>
      </c>
      <c r="BD51" s="3">
        <v>8127329.3700000001</v>
      </c>
      <c r="BE51" s="4">
        <v>5.0999999999999996</v>
      </c>
      <c r="BF51" s="4">
        <v>5.0999999999999996</v>
      </c>
    </row>
    <row r="52" spans="1:58" x14ac:dyDescent="0.55000000000000004">
      <c r="A52" t="s">
        <v>57</v>
      </c>
      <c r="B52" t="s">
        <v>58</v>
      </c>
      <c r="C52" t="s">
        <v>59</v>
      </c>
      <c r="D52" t="s">
        <v>60</v>
      </c>
      <c r="E52" t="s">
        <v>61</v>
      </c>
      <c r="F52" t="s">
        <v>62</v>
      </c>
      <c r="G52" t="s">
        <v>63</v>
      </c>
      <c r="H52" t="s">
        <v>64</v>
      </c>
      <c r="I52" t="s">
        <v>65</v>
      </c>
      <c r="J52" t="s">
        <v>66</v>
      </c>
      <c r="K52" t="s">
        <v>126</v>
      </c>
      <c r="L52" t="s">
        <v>179</v>
      </c>
      <c r="M52" t="s">
        <v>180</v>
      </c>
      <c r="N52" t="str">
        <f>[1]!f_info_reitsoriginal(L52,1)</f>
        <v>上海外高桥集团股份有限公司</v>
      </c>
      <c r="O52" t="s">
        <v>70</v>
      </c>
      <c r="P52" t="s">
        <v>71</v>
      </c>
      <c r="Q52" s="1">
        <v>1.6721999999999999</v>
      </c>
      <c r="R52" s="1">
        <v>1.6833</v>
      </c>
      <c r="S52" s="1">
        <v>1.7568999999999999</v>
      </c>
      <c r="T52" t="s">
        <v>71</v>
      </c>
      <c r="U52" t="s">
        <v>71</v>
      </c>
      <c r="V52" t="s">
        <v>71</v>
      </c>
      <c r="W52" t="s">
        <v>72</v>
      </c>
      <c r="X52" t="s">
        <v>73</v>
      </c>
      <c r="Y52" t="s">
        <v>74</v>
      </c>
      <c r="Z52" t="s">
        <v>74</v>
      </c>
      <c r="AA52" s="2">
        <v>3.7029999999999998</v>
      </c>
      <c r="AB52" s="3">
        <v>2262453</v>
      </c>
      <c r="AC52" s="4">
        <v>0</v>
      </c>
      <c r="AD52" s="4">
        <v>0</v>
      </c>
      <c r="AE52" s="4">
        <v>0</v>
      </c>
      <c r="AF52" s="4">
        <v>0</v>
      </c>
      <c r="AG52" s="4">
        <v>0</v>
      </c>
      <c r="AH52" s="4">
        <v>0</v>
      </c>
      <c r="AI52" s="4">
        <v>3.75</v>
      </c>
      <c r="AJ52" s="3">
        <v>8479965.8599999994</v>
      </c>
      <c r="AK52" s="3">
        <v>-102102.39999999999</v>
      </c>
      <c r="AL52" s="4">
        <v>-1.2</v>
      </c>
      <c r="AM52" s="4">
        <v>0</v>
      </c>
      <c r="AN52" s="4">
        <v>0</v>
      </c>
      <c r="AO52" s="3">
        <v>-127226.74</v>
      </c>
      <c r="AP52" s="4">
        <v>-1.5</v>
      </c>
      <c r="AQ52" s="3">
        <v>-25124.34</v>
      </c>
      <c r="AR52" s="4">
        <v>-0.3</v>
      </c>
      <c r="AS52" s="3">
        <v>8377863.46</v>
      </c>
      <c r="AT52" t="s">
        <v>75</v>
      </c>
      <c r="AU52" t="s">
        <v>129</v>
      </c>
      <c r="AV52" t="s">
        <v>130</v>
      </c>
      <c r="AW52" t="s">
        <v>71</v>
      </c>
      <c r="AX52" t="s">
        <v>71</v>
      </c>
      <c r="AY52" t="s">
        <v>71</v>
      </c>
      <c r="AZ52" t="s">
        <v>71</v>
      </c>
      <c r="BA52" t="s">
        <v>71</v>
      </c>
      <c r="BB52" t="s">
        <v>60</v>
      </c>
      <c r="BC52" s="3">
        <v>8479965.8599999994</v>
      </c>
      <c r="BD52" s="3">
        <v>8479965.8599999994</v>
      </c>
      <c r="BE52" s="4">
        <v>3.75</v>
      </c>
      <c r="BF52" s="4">
        <v>3.75</v>
      </c>
    </row>
    <row r="53" spans="1:58" x14ac:dyDescent="0.55000000000000004">
      <c r="A53" t="s">
        <v>57</v>
      </c>
      <c r="B53" t="s">
        <v>58</v>
      </c>
      <c r="C53" t="s">
        <v>59</v>
      </c>
      <c r="D53" t="s">
        <v>60</v>
      </c>
      <c r="E53" t="s">
        <v>61</v>
      </c>
      <c r="F53" t="s">
        <v>62</v>
      </c>
      <c r="G53" t="s">
        <v>63</v>
      </c>
      <c r="H53" t="s">
        <v>64</v>
      </c>
      <c r="I53" t="s">
        <v>65</v>
      </c>
      <c r="J53" t="s">
        <v>66</v>
      </c>
      <c r="K53" t="s">
        <v>126</v>
      </c>
      <c r="L53" t="s">
        <v>181</v>
      </c>
      <c r="M53" t="s">
        <v>182</v>
      </c>
      <c r="N53" t="str">
        <f>[1]!f_info_reitsoriginal(L53,1)</f>
        <v>上海地产房屋租赁有限公司</v>
      </c>
      <c r="O53" t="s">
        <v>70</v>
      </c>
      <c r="P53" t="s">
        <v>71</v>
      </c>
      <c r="Q53" s="1">
        <v>1.3851</v>
      </c>
      <c r="R53" s="1">
        <v>1.3943000000000001</v>
      </c>
      <c r="S53" s="1">
        <v>1.4552</v>
      </c>
      <c r="T53" t="s">
        <v>71</v>
      </c>
      <c r="U53" t="s">
        <v>71</v>
      </c>
      <c r="V53" t="s">
        <v>71</v>
      </c>
      <c r="W53" t="s">
        <v>72</v>
      </c>
      <c r="X53" t="s">
        <v>73</v>
      </c>
      <c r="Y53" t="s">
        <v>74</v>
      </c>
      <c r="Z53" t="s">
        <v>74</v>
      </c>
      <c r="AA53" s="2">
        <v>3.5249999999999999</v>
      </c>
      <c r="AB53" s="3">
        <v>1968631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3.67</v>
      </c>
      <c r="AJ53" s="3">
        <v>7220166.7699999996</v>
      </c>
      <c r="AK53" s="3">
        <v>-280742.49</v>
      </c>
      <c r="AL53" s="4">
        <v>-3.89</v>
      </c>
      <c r="AM53" s="4">
        <v>0</v>
      </c>
      <c r="AN53" s="4">
        <v>0</v>
      </c>
      <c r="AO53" s="3">
        <v>-248292.22</v>
      </c>
      <c r="AP53" s="4">
        <v>-3.44</v>
      </c>
      <c r="AQ53" s="3">
        <v>32450.27</v>
      </c>
      <c r="AR53" s="4">
        <v>0.45</v>
      </c>
      <c r="AS53" s="3">
        <v>6939424.2800000003</v>
      </c>
      <c r="AT53" t="s">
        <v>75</v>
      </c>
      <c r="AU53" t="s">
        <v>129</v>
      </c>
      <c r="AV53" t="s">
        <v>130</v>
      </c>
      <c r="AW53" t="s">
        <v>71</v>
      </c>
      <c r="AX53" t="s">
        <v>71</v>
      </c>
      <c r="AY53" t="s">
        <v>71</v>
      </c>
      <c r="AZ53" t="s">
        <v>71</v>
      </c>
      <c r="BA53" t="s">
        <v>71</v>
      </c>
      <c r="BB53" t="s">
        <v>60</v>
      </c>
      <c r="BC53" s="3">
        <v>7220166.7699999996</v>
      </c>
      <c r="BD53" s="3">
        <v>7220166.7699999996</v>
      </c>
      <c r="BE53" s="4">
        <v>3.67</v>
      </c>
      <c r="BF53" s="4">
        <v>3.67</v>
      </c>
    </row>
    <row r="54" spans="1:58" x14ac:dyDescent="0.55000000000000004">
      <c r="A54" t="s">
        <v>57</v>
      </c>
      <c r="B54" t="s">
        <v>58</v>
      </c>
      <c r="C54" t="s">
        <v>59</v>
      </c>
      <c r="D54" t="s">
        <v>60</v>
      </c>
      <c r="E54" t="s">
        <v>61</v>
      </c>
      <c r="F54" t="s">
        <v>62</v>
      </c>
      <c r="G54" t="s">
        <v>63</v>
      </c>
      <c r="H54" t="s">
        <v>64</v>
      </c>
      <c r="I54" t="s">
        <v>65</v>
      </c>
      <c r="J54" t="s">
        <v>66</v>
      </c>
      <c r="K54" t="s">
        <v>126</v>
      </c>
      <c r="L54" t="s">
        <v>183</v>
      </c>
      <c r="M54" t="s">
        <v>184</v>
      </c>
      <c r="N54" t="str">
        <f>[1]!f_info_reitsoriginal(L54,1)</f>
        <v>普洛斯中国控股有限公司</v>
      </c>
      <c r="O54" t="s">
        <v>70</v>
      </c>
      <c r="P54" t="s">
        <v>71</v>
      </c>
      <c r="Q54" s="1">
        <v>1.2748999999999999</v>
      </c>
      <c r="R54" s="1">
        <v>1.2833000000000001</v>
      </c>
      <c r="S54" s="1">
        <v>1.3393999999999999</v>
      </c>
      <c r="T54" t="s">
        <v>71</v>
      </c>
      <c r="U54" t="s">
        <v>71</v>
      </c>
      <c r="V54" t="s">
        <v>71</v>
      </c>
      <c r="W54" t="s">
        <v>72</v>
      </c>
      <c r="X54" t="s">
        <v>73</v>
      </c>
      <c r="Y54" t="s">
        <v>74</v>
      </c>
      <c r="Z54" t="s">
        <v>74</v>
      </c>
      <c r="AA54" s="2">
        <v>3.0339999999999998</v>
      </c>
      <c r="AB54" s="3">
        <v>2105161</v>
      </c>
      <c r="AC54" s="4">
        <v>0</v>
      </c>
      <c r="AD54" s="4">
        <v>0</v>
      </c>
      <c r="AE54" s="4">
        <v>0</v>
      </c>
      <c r="AF54" s="4">
        <v>0</v>
      </c>
      <c r="AG54" s="4">
        <v>0</v>
      </c>
      <c r="AH54" s="4">
        <v>0</v>
      </c>
      <c r="AI54" s="4">
        <v>3.41</v>
      </c>
      <c r="AJ54" s="3">
        <v>7180182.4400000004</v>
      </c>
      <c r="AK54" s="3">
        <v>-793123.97</v>
      </c>
      <c r="AL54" s="4">
        <v>-11.05</v>
      </c>
      <c r="AM54" s="4">
        <v>0</v>
      </c>
      <c r="AN54" s="4">
        <v>0</v>
      </c>
      <c r="AO54" s="3">
        <v>-1191256.8500000001</v>
      </c>
      <c r="AP54" s="4">
        <v>-16.59</v>
      </c>
      <c r="AQ54" s="3">
        <v>-398132.88</v>
      </c>
      <c r="AR54" s="4">
        <v>-5.54</v>
      </c>
      <c r="AS54" s="3">
        <v>6387058.4699999997</v>
      </c>
      <c r="AT54" t="s">
        <v>75</v>
      </c>
      <c r="AU54" t="s">
        <v>129</v>
      </c>
      <c r="AV54" t="s">
        <v>130</v>
      </c>
      <c r="AW54" t="s">
        <v>71</v>
      </c>
      <c r="AX54" t="s">
        <v>71</v>
      </c>
      <c r="AY54" t="s">
        <v>71</v>
      </c>
      <c r="AZ54" t="s">
        <v>71</v>
      </c>
      <c r="BA54" t="s">
        <v>71</v>
      </c>
      <c r="BB54" t="s">
        <v>60</v>
      </c>
      <c r="BC54" s="3">
        <v>7180182.4400000004</v>
      </c>
      <c r="BD54" s="3">
        <v>7180182.4400000004</v>
      </c>
      <c r="BE54" s="4">
        <v>3.41</v>
      </c>
      <c r="BF54" s="4">
        <v>3.41</v>
      </c>
    </row>
    <row r="55" spans="1:58" x14ac:dyDescent="0.55000000000000004">
      <c r="A55" t="s">
        <v>57</v>
      </c>
      <c r="B55" t="s">
        <v>58</v>
      </c>
      <c r="C55" t="s">
        <v>59</v>
      </c>
      <c r="D55" t="s">
        <v>60</v>
      </c>
      <c r="E55" t="s">
        <v>61</v>
      </c>
      <c r="F55" t="s">
        <v>62</v>
      </c>
      <c r="G55" t="s">
        <v>63</v>
      </c>
      <c r="H55" t="s">
        <v>64</v>
      </c>
      <c r="I55" t="s">
        <v>65</v>
      </c>
      <c r="J55" t="s">
        <v>66</v>
      </c>
      <c r="K55" t="s">
        <v>126</v>
      </c>
      <c r="L55" t="s">
        <v>185</v>
      </c>
      <c r="M55" t="s">
        <v>186</v>
      </c>
      <c r="N55" t="str">
        <f>[1]!f_info_reitsoriginal(L55,1)</f>
        <v>厦门安居集团有限公司</v>
      </c>
      <c r="O55" t="s">
        <v>70</v>
      </c>
      <c r="P55" t="s">
        <v>71</v>
      </c>
      <c r="Q55" s="1">
        <v>1.6959</v>
      </c>
      <c r="R55" s="1">
        <v>1.7071000000000001</v>
      </c>
      <c r="S55" s="1">
        <v>1.7817000000000001</v>
      </c>
      <c r="T55" t="s">
        <v>71</v>
      </c>
      <c r="U55" t="s">
        <v>71</v>
      </c>
      <c r="V55" t="s">
        <v>71</v>
      </c>
      <c r="W55" t="s">
        <v>72</v>
      </c>
      <c r="X55" t="s">
        <v>73</v>
      </c>
      <c r="Y55" t="s">
        <v>74</v>
      </c>
      <c r="Z55" t="s">
        <v>74</v>
      </c>
      <c r="AA55" s="2">
        <v>4.1459999999999999</v>
      </c>
      <c r="AB55" s="3">
        <v>2049274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4.22</v>
      </c>
      <c r="AJ55" s="3">
        <v>8657401.6099999994</v>
      </c>
      <c r="AK55" s="3">
        <v>-161111.60999999999</v>
      </c>
      <c r="AL55" s="4">
        <v>-1.86</v>
      </c>
      <c r="AM55" s="4">
        <v>0</v>
      </c>
      <c r="AN55" s="4">
        <v>0</v>
      </c>
      <c r="AO55" s="3">
        <v>-324211.28000000003</v>
      </c>
      <c r="AP55" s="4">
        <v>-3.74</v>
      </c>
      <c r="AQ55" s="3">
        <v>-163099.67000000001</v>
      </c>
      <c r="AR55" s="4">
        <v>-1.88</v>
      </c>
      <c r="AS55" s="3">
        <v>8496290</v>
      </c>
      <c r="AT55" t="s">
        <v>75</v>
      </c>
      <c r="AU55" t="s">
        <v>129</v>
      </c>
      <c r="AV55" t="s">
        <v>130</v>
      </c>
      <c r="AW55" t="s">
        <v>71</v>
      </c>
      <c r="AX55" t="s">
        <v>71</v>
      </c>
      <c r="AY55" t="s">
        <v>71</v>
      </c>
      <c r="AZ55" t="s">
        <v>71</v>
      </c>
      <c r="BA55" t="s">
        <v>71</v>
      </c>
      <c r="BB55" t="s">
        <v>60</v>
      </c>
      <c r="BC55" s="3">
        <v>8657401.6099999994</v>
      </c>
      <c r="BD55" s="3">
        <v>8657401.6099999994</v>
      </c>
      <c r="BE55" s="4">
        <v>4.22</v>
      </c>
      <c r="BF55" s="4">
        <v>4.22</v>
      </c>
    </row>
    <row r="56" spans="1:58" x14ac:dyDescent="0.55000000000000004">
      <c r="A56" t="s">
        <v>57</v>
      </c>
      <c r="B56" t="s">
        <v>58</v>
      </c>
      <c r="C56" t="s">
        <v>59</v>
      </c>
      <c r="D56" t="s">
        <v>60</v>
      </c>
      <c r="E56" t="s">
        <v>61</v>
      </c>
      <c r="F56" t="s">
        <v>62</v>
      </c>
      <c r="G56" t="s">
        <v>63</v>
      </c>
      <c r="H56" t="s">
        <v>64</v>
      </c>
      <c r="I56" t="s">
        <v>65</v>
      </c>
      <c r="J56" t="s">
        <v>66</v>
      </c>
      <c r="K56" t="s">
        <v>126</v>
      </c>
      <c r="L56" t="s">
        <v>187</v>
      </c>
      <c r="M56" t="s">
        <v>188</v>
      </c>
      <c r="N56" t="str">
        <f>[1]!f_info_reitsoriginal(L56,1)</f>
        <v>万国数据控股有限公司</v>
      </c>
      <c r="O56" t="s">
        <v>70</v>
      </c>
      <c r="P56" t="s">
        <v>71</v>
      </c>
      <c r="Q56" s="1">
        <v>1.6278999999999999</v>
      </c>
      <c r="R56" s="1">
        <v>1.6387</v>
      </c>
      <c r="S56" s="1">
        <v>1.7102999999999999</v>
      </c>
      <c r="T56" t="s">
        <v>71</v>
      </c>
      <c r="U56" t="s">
        <v>71</v>
      </c>
      <c r="V56" t="s">
        <v>71</v>
      </c>
      <c r="W56" t="s">
        <v>72</v>
      </c>
      <c r="X56" t="s">
        <v>73</v>
      </c>
      <c r="Y56" t="s">
        <v>74</v>
      </c>
      <c r="Z56" t="s">
        <v>74</v>
      </c>
      <c r="AA56" s="2">
        <v>4.5030000000000001</v>
      </c>
      <c r="AB56" s="3">
        <v>1811150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4.5</v>
      </c>
      <c r="AJ56" s="3">
        <v>8157195.1799999997</v>
      </c>
      <c r="AK56" s="3">
        <v>-1586.73</v>
      </c>
      <c r="AL56" s="4">
        <v>-0.02</v>
      </c>
      <c r="AM56" s="4">
        <v>0</v>
      </c>
      <c r="AN56" s="4">
        <v>0</v>
      </c>
      <c r="AO56" s="3">
        <v>466667.45</v>
      </c>
      <c r="AP56" s="4">
        <v>5.72</v>
      </c>
      <c r="AQ56" s="3">
        <v>468254.18</v>
      </c>
      <c r="AR56" s="4">
        <v>5.74</v>
      </c>
      <c r="AS56" s="3">
        <v>8155608.4500000002</v>
      </c>
      <c r="AT56" t="s">
        <v>75</v>
      </c>
      <c r="AU56" t="s">
        <v>129</v>
      </c>
      <c r="AV56" t="s">
        <v>130</v>
      </c>
      <c r="AW56" t="s">
        <v>71</v>
      </c>
      <c r="AX56" t="s">
        <v>71</v>
      </c>
      <c r="AY56" t="s">
        <v>71</v>
      </c>
      <c r="AZ56" t="s">
        <v>71</v>
      </c>
      <c r="BA56" t="s">
        <v>71</v>
      </c>
      <c r="BB56" t="s">
        <v>60</v>
      </c>
      <c r="BC56" s="3">
        <v>8157195.1799999997</v>
      </c>
      <c r="BD56" s="3">
        <v>8157195.1799999997</v>
      </c>
      <c r="BE56" s="4">
        <v>4.5</v>
      </c>
      <c r="BF56" s="4">
        <v>4.5</v>
      </c>
    </row>
    <row r="57" spans="1:58" x14ac:dyDescent="0.55000000000000004">
      <c r="A57" t="s">
        <v>57</v>
      </c>
      <c r="B57" t="s">
        <v>58</v>
      </c>
      <c r="C57" t="s">
        <v>59</v>
      </c>
      <c r="D57" t="s">
        <v>60</v>
      </c>
      <c r="E57" t="s">
        <v>61</v>
      </c>
      <c r="F57" t="s">
        <v>62</v>
      </c>
      <c r="G57" t="s">
        <v>63</v>
      </c>
      <c r="H57" t="s">
        <v>64</v>
      </c>
      <c r="I57" t="s">
        <v>65</v>
      </c>
      <c r="J57" t="s">
        <v>66</v>
      </c>
      <c r="K57" t="s">
        <v>126</v>
      </c>
      <c r="L57" t="s">
        <v>189</v>
      </c>
      <c r="M57" t="s">
        <v>190</v>
      </c>
      <c r="N57" t="str">
        <f>[1]!f_info_reitsoriginal(L57,1)</f>
        <v>江苏沿江高速公路有限公司</v>
      </c>
      <c r="O57" t="s">
        <v>70</v>
      </c>
      <c r="P57" t="s">
        <v>71</v>
      </c>
      <c r="Q57" s="1">
        <v>0.95279999999999998</v>
      </c>
      <c r="R57" s="1">
        <v>0.95909999999999995</v>
      </c>
      <c r="S57" s="1">
        <v>1.0009999999999999</v>
      </c>
      <c r="T57" t="s">
        <v>71</v>
      </c>
      <c r="U57" t="s">
        <v>71</v>
      </c>
      <c r="V57" t="s">
        <v>71</v>
      </c>
      <c r="W57" t="s">
        <v>72</v>
      </c>
      <c r="X57" t="s">
        <v>73</v>
      </c>
      <c r="Y57" t="s">
        <v>74</v>
      </c>
      <c r="Z57" t="s">
        <v>74</v>
      </c>
      <c r="AA57" s="2">
        <v>6.1529999999999996</v>
      </c>
      <c r="AB57" s="3">
        <v>775802</v>
      </c>
      <c r="AC57" s="4">
        <v>0</v>
      </c>
      <c r="AD57" s="4">
        <v>0</v>
      </c>
      <c r="AE57" s="4">
        <v>0</v>
      </c>
      <c r="AF57" s="4">
        <v>0</v>
      </c>
      <c r="AG57" s="4">
        <v>0</v>
      </c>
      <c r="AH57" s="4">
        <v>0</v>
      </c>
      <c r="AI57" s="4">
        <v>6.18</v>
      </c>
      <c r="AJ57" s="3">
        <v>4796388.16</v>
      </c>
      <c r="AK57" s="3">
        <v>-22878.45</v>
      </c>
      <c r="AL57" s="4">
        <v>-0.48</v>
      </c>
      <c r="AM57" s="4">
        <v>0</v>
      </c>
      <c r="AN57" s="4">
        <v>0</v>
      </c>
      <c r="AO57" s="3">
        <v>-433793.41</v>
      </c>
      <c r="AP57" s="4">
        <v>-9.0399999999999991</v>
      </c>
      <c r="AQ57" s="3">
        <v>-410914.96</v>
      </c>
      <c r="AR57" s="4">
        <v>-8.57</v>
      </c>
      <c r="AS57" s="3">
        <v>4773509.71</v>
      </c>
      <c r="AT57" t="s">
        <v>75</v>
      </c>
      <c r="AU57" t="s">
        <v>129</v>
      </c>
      <c r="AV57" t="s">
        <v>130</v>
      </c>
      <c r="AW57" t="s">
        <v>71</v>
      </c>
      <c r="AX57" t="s">
        <v>71</v>
      </c>
      <c r="AY57" t="s">
        <v>71</v>
      </c>
      <c r="AZ57" t="s">
        <v>71</v>
      </c>
      <c r="BA57" t="s">
        <v>71</v>
      </c>
      <c r="BB57" t="s">
        <v>60</v>
      </c>
      <c r="BC57" s="3">
        <v>4796388.16</v>
      </c>
      <c r="BD57" s="3">
        <v>4796388.16</v>
      </c>
      <c r="BE57" s="4">
        <v>6.18</v>
      </c>
      <c r="BF57" s="4">
        <v>6.18</v>
      </c>
    </row>
    <row r="58" spans="1:58" x14ac:dyDescent="0.55000000000000004">
      <c r="A58" t="s">
        <v>57</v>
      </c>
      <c r="B58" t="s">
        <v>58</v>
      </c>
      <c r="C58" t="s">
        <v>59</v>
      </c>
      <c r="D58" t="s">
        <v>60</v>
      </c>
      <c r="E58" t="s">
        <v>61</v>
      </c>
      <c r="F58" t="s">
        <v>62</v>
      </c>
      <c r="G58" t="s">
        <v>63</v>
      </c>
      <c r="H58" t="s">
        <v>64</v>
      </c>
      <c r="I58" t="s">
        <v>65</v>
      </c>
      <c r="J58" t="s">
        <v>66</v>
      </c>
      <c r="K58" t="s">
        <v>126</v>
      </c>
      <c r="L58" t="s">
        <v>191</v>
      </c>
      <c r="M58" t="s">
        <v>192</v>
      </c>
      <c r="N58" t="str">
        <f>[1]!f_info_reitsoriginal(L58,1)</f>
        <v>北京保障房中心有限公司</v>
      </c>
      <c r="O58" t="s">
        <v>70</v>
      </c>
      <c r="P58" t="s">
        <v>71</v>
      </c>
      <c r="Q58" s="1">
        <v>1.5945</v>
      </c>
      <c r="R58" s="1">
        <v>1.6051</v>
      </c>
      <c r="S58" s="1">
        <v>1.6752</v>
      </c>
      <c r="T58" t="s">
        <v>71</v>
      </c>
      <c r="U58" t="s">
        <v>71</v>
      </c>
      <c r="V58" t="s">
        <v>71</v>
      </c>
      <c r="W58" t="s">
        <v>72</v>
      </c>
      <c r="X58" t="s">
        <v>73</v>
      </c>
      <c r="Y58" t="s">
        <v>74</v>
      </c>
      <c r="Z58" t="s">
        <v>74</v>
      </c>
      <c r="AA58" s="2">
        <v>3.9780000000000002</v>
      </c>
      <c r="AB58" s="3">
        <v>2008140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4.08</v>
      </c>
      <c r="AJ58" s="3">
        <v>8197257.2000000002</v>
      </c>
      <c r="AK58" s="3">
        <v>-208876.28</v>
      </c>
      <c r="AL58" s="4">
        <v>-2.5499999999999998</v>
      </c>
      <c r="AM58" s="4">
        <v>0</v>
      </c>
      <c r="AN58" s="4">
        <v>0</v>
      </c>
      <c r="AO58" s="3">
        <v>-368879.76</v>
      </c>
      <c r="AP58" s="4">
        <v>-4.5</v>
      </c>
      <c r="AQ58" s="3">
        <v>-160003.48000000001</v>
      </c>
      <c r="AR58" s="4">
        <v>-1.95</v>
      </c>
      <c r="AS58" s="3">
        <v>7988380.9199999999</v>
      </c>
      <c r="AT58" t="s">
        <v>75</v>
      </c>
      <c r="AU58" t="s">
        <v>129</v>
      </c>
      <c r="AV58" t="s">
        <v>130</v>
      </c>
      <c r="AW58" t="s">
        <v>71</v>
      </c>
      <c r="AX58" t="s">
        <v>71</v>
      </c>
      <c r="AY58" t="s">
        <v>71</v>
      </c>
      <c r="AZ58" t="s">
        <v>71</v>
      </c>
      <c r="BA58" t="s">
        <v>71</v>
      </c>
      <c r="BB58" t="s">
        <v>60</v>
      </c>
      <c r="BC58" s="3">
        <v>8197257.2000000002</v>
      </c>
      <c r="BD58" s="3">
        <v>8197257.2000000002</v>
      </c>
      <c r="BE58" s="4">
        <v>4.08</v>
      </c>
      <c r="BF58" s="4">
        <v>4.08</v>
      </c>
    </row>
    <row r="59" spans="1:58" x14ac:dyDescent="0.55000000000000004">
      <c r="A59" t="s">
        <v>57</v>
      </c>
      <c r="B59" t="s">
        <v>58</v>
      </c>
      <c r="C59" t="s">
        <v>59</v>
      </c>
      <c r="D59" t="s">
        <v>60</v>
      </c>
      <c r="E59" t="s">
        <v>61</v>
      </c>
      <c r="F59" t="s">
        <v>62</v>
      </c>
      <c r="G59" t="s">
        <v>63</v>
      </c>
      <c r="H59" t="s">
        <v>64</v>
      </c>
      <c r="I59" t="s">
        <v>65</v>
      </c>
      <c r="J59" t="s">
        <v>66</v>
      </c>
      <c r="K59" t="s">
        <v>126</v>
      </c>
      <c r="L59" t="s">
        <v>193</v>
      </c>
      <c r="M59" t="s">
        <v>194</v>
      </c>
      <c r="N59" t="str">
        <f>[1]!f_info_reitsoriginal(L59,1)</f>
        <v>南京公路发展(集团)有限公司</v>
      </c>
      <c r="O59" t="s">
        <v>70</v>
      </c>
      <c r="P59" t="s">
        <v>71</v>
      </c>
      <c r="Q59" s="1">
        <v>1.3559000000000001</v>
      </c>
      <c r="R59" s="1">
        <v>1.3649</v>
      </c>
      <c r="S59" s="1">
        <v>1.4245000000000001</v>
      </c>
      <c r="T59" t="s">
        <v>71</v>
      </c>
      <c r="U59" t="s">
        <v>71</v>
      </c>
      <c r="V59" t="s">
        <v>71</v>
      </c>
      <c r="W59" t="s">
        <v>72</v>
      </c>
      <c r="X59" t="s">
        <v>73</v>
      </c>
      <c r="Y59" t="s">
        <v>74</v>
      </c>
      <c r="Z59" t="s">
        <v>74</v>
      </c>
      <c r="AA59" s="2">
        <v>6.32</v>
      </c>
      <c r="AB59" s="3">
        <v>1074835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6.62</v>
      </c>
      <c r="AJ59" s="3">
        <v>7117152.4900000002</v>
      </c>
      <c r="AK59" s="3">
        <v>-324195.28999999998</v>
      </c>
      <c r="AL59" s="4">
        <v>-4.5599999999999996</v>
      </c>
      <c r="AM59" s="4">
        <v>0</v>
      </c>
      <c r="AN59" s="4">
        <v>0</v>
      </c>
      <c r="AO59" s="3">
        <v>-367144.1</v>
      </c>
      <c r="AP59" s="4">
        <v>-5.16</v>
      </c>
      <c r="AQ59" s="3">
        <v>-42948.81</v>
      </c>
      <c r="AR59" s="4">
        <v>-0.6</v>
      </c>
      <c r="AS59" s="3">
        <v>6792957.2000000002</v>
      </c>
      <c r="AT59" t="s">
        <v>75</v>
      </c>
      <c r="AU59" t="s">
        <v>129</v>
      </c>
      <c r="AV59" t="s">
        <v>130</v>
      </c>
      <c r="AW59" t="s">
        <v>71</v>
      </c>
      <c r="AX59" t="s">
        <v>71</v>
      </c>
      <c r="AY59" t="s">
        <v>71</v>
      </c>
      <c r="AZ59" t="s">
        <v>71</v>
      </c>
      <c r="BA59" t="s">
        <v>71</v>
      </c>
      <c r="BB59" t="s">
        <v>60</v>
      </c>
      <c r="BC59" s="3">
        <v>7117152.4900000002</v>
      </c>
      <c r="BD59" s="3">
        <v>7117152.4900000002</v>
      </c>
      <c r="BE59" s="4">
        <v>6.62</v>
      </c>
      <c r="BF59" s="4">
        <v>6.62</v>
      </c>
    </row>
    <row r="60" spans="1:58" x14ac:dyDescent="0.55000000000000004">
      <c r="A60" t="s">
        <v>57</v>
      </c>
      <c r="B60" t="s">
        <v>58</v>
      </c>
      <c r="C60" t="s">
        <v>59</v>
      </c>
      <c r="D60" t="s">
        <v>60</v>
      </c>
      <c r="E60" t="s">
        <v>61</v>
      </c>
      <c r="F60" t="s">
        <v>62</v>
      </c>
      <c r="G60" t="s">
        <v>63</v>
      </c>
      <c r="H60" t="s">
        <v>64</v>
      </c>
      <c r="I60" t="s">
        <v>65</v>
      </c>
      <c r="J60" t="s">
        <v>66</v>
      </c>
      <c r="K60" t="s">
        <v>126</v>
      </c>
      <c r="L60" t="s">
        <v>195</v>
      </c>
      <c r="M60" t="s">
        <v>196</v>
      </c>
      <c r="N60" t="str">
        <f>[1]!f_info_reitsoriginal(L60,1)</f>
        <v>有巢住房租赁(深圳)有限公司</v>
      </c>
      <c r="O60" t="s">
        <v>70</v>
      </c>
      <c r="P60" t="s">
        <v>71</v>
      </c>
      <c r="Q60" s="1">
        <v>1.1158999999999999</v>
      </c>
      <c r="R60" s="1">
        <v>1.1233</v>
      </c>
      <c r="S60" s="1">
        <v>1.1724000000000001</v>
      </c>
      <c r="T60" t="s">
        <v>71</v>
      </c>
      <c r="U60" t="s">
        <v>71</v>
      </c>
      <c r="V60" t="s">
        <v>71</v>
      </c>
      <c r="W60" t="s">
        <v>72</v>
      </c>
      <c r="X60" t="s">
        <v>73</v>
      </c>
      <c r="Y60" t="s">
        <v>74</v>
      </c>
      <c r="Z60" t="s">
        <v>74</v>
      </c>
      <c r="AA60" s="2">
        <v>2.734</v>
      </c>
      <c r="AB60" s="3">
        <v>2044811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0.27</v>
      </c>
      <c r="AJ60" s="3">
        <v>553837.51</v>
      </c>
      <c r="AK60" s="3">
        <v>5036675.76</v>
      </c>
      <c r="AL60" s="4">
        <v>909.41</v>
      </c>
      <c r="AM60" s="4">
        <v>0</v>
      </c>
      <c r="AN60" s="4">
        <v>0</v>
      </c>
      <c r="AO60" s="3">
        <v>4892005.17</v>
      </c>
      <c r="AP60" s="4">
        <v>883.29</v>
      </c>
      <c r="AQ60" s="3">
        <v>-144670.59</v>
      </c>
      <c r="AR60" s="4">
        <v>-26.12</v>
      </c>
      <c r="AS60" s="3">
        <v>5590513.2699999996</v>
      </c>
      <c r="AT60" t="s">
        <v>75</v>
      </c>
      <c r="AU60" t="s">
        <v>129</v>
      </c>
      <c r="AV60" t="s">
        <v>130</v>
      </c>
      <c r="AW60" t="s">
        <v>71</v>
      </c>
      <c r="AX60" t="s">
        <v>71</v>
      </c>
      <c r="AY60" t="s">
        <v>71</v>
      </c>
      <c r="AZ60" t="s">
        <v>71</v>
      </c>
      <c r="BA60" t="s">
        <v>71</v>
      </c>
      <c r="BB60" t="s">
        <v>60</v>
      </c>
      <c r="BC60" s="3">
        <v>5889460.5</v>
      </c>
      <c r="BD60" s="3">
        <v>5889460.5</v>
      </c>
      <c r="BE60" s="4">
        <v>2.88</v>
      </c>
      <c r="BF60" s="4">
        <v>2.88</v>
      </c>
    </row>
    <row r="61" spans="1:58" x14ac:dyDescent="0.55000000000000004">
      <c r="A61" t="s">
        <v>57</v>
      </c>
      <c r="B61" t="s">
        <v>58</v>
      </c>
      <c r="C61" t="s">
        <v>59</v>
      </c>
      <c r="D61" t="s">
        <v>60</v>
      </c>
      <c r="E61" t="s">
        <v>61</v>
      </c>
      <c r="F61" t="s">
        <v>62</v>
      </c>
      <c r="G61" t="s">
        <v>63</v>
      </c>
      <c r="H61" t="s">
        <v>64</v>
      </c>
      <c r="I61" t="s">
        <v>65</v>
      </c>
      <c r="J61" t="s">
        <v>66</v>
      </c>
      <c r="K61" t="s">
        <v>126</v>
      </c>
      <c r="L61" t="s">
        <v>197</v>
      </c>
      <c r="M61" t="s">
        <v>198</v>
      </c>
      <c r="N61" t="str">
        <f>[1]!f_info_reitsoriginal(L61,1)</f>
        <v>ESR Group Limited</v>
      </c>
      <c r="O61" t="s">
        <v>70</v>
      </c>
      <c r="P61" t="s">
        <v>71</v>
      </c>
      <c r="Q61" s="1">
        <v>1.5066999999999999</v>
      </c>
      <c r="R61" s="1">
        <v>1.5166999999999999</v>
      </c>
      <c r="S61" s="1">
        <v>1.5829</v>
      </c>
      <c r="T61" t="s">
        <v>71</v>
      </c>
      <c r="U61" t="s">
        <v>71</v>
      </c>
      <c r="V61" t="s">
        <v>71</v>
      </c>
      <c r="W61" t="s">
        <v>72</v>
      </c>
      <c r="X61" t="s">
        <v>73</v>
      </c>
      <c r="Y61" t="s">
        <v>74</v>
      </c>
      <c r="Z61" t="s">
        <v>74</v>
      </c>
      <c r="AA61" s="2">
        <v>2.82</v>
      </c>
      <c r="AB61" s="3">
        <v>2676760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2.96</v>
      </c>
      <c r="AJ61" s="3">
        <v>7916501.5899999999</v>
      </c>
      <c r="AK61" s="3">
        <v>-368038.39</v>
      </c>
      <c r="AL61" s="4">
        <v>-4.6500000000000004</v>
      </c>
      <c r="AM61" s="4">
        <v>0</v>
      </c>
      <c r="AN61" s="4">
        <v>0</v>
      </c>
      <c r="AO61" s="3">
        <v>-388464.83</v>
      </c>
      <c r="AP61" s="4">
        <v>-4.91</v>
      </c>
      <c r="AQ61" s="3">
        <v>-20426.439999999999</v>
      </c>
      <c r="AR61" s="4">
        <v>-0.26</v>
      </c>
      <c r="AS61" s="3">
        <v>7548463.2000000002</v>
      </c>
      <c r="AT61" t="s">
        <v>75</v>
      </c>
      <c r="AU61" t="s">
        <v>129</v>
      </c>
      <c r="AV61" t="s">
        <v>130</v>
      </c>
      <c r="AW61" t="s">
        <v>71</v>
      </c>
      <c r="AX61" t="s">
        <v>71</v>
      </c>
      <c r="AY61" t="s">
        <v>71</v>
      </c>
      <c r="AZ61" t="s">
        <v>71</v>
      </c>
      <c r="BA61" t="s">
        <v>71</v>
      </c>
      <c r="BB61" t="s">
        <v>60</v>
      </c>
      <c r="BC61" s="3">
        <v>7916501.5899999999</v>
      </c>
      <c r="BD61" s="3">
        <v>7916501.5899999999</v>
      </c>
      <c r="BE61" s="4">
        <v>2.96</v>
      </c>
      <c r="BF61" s="4">
        <v>2.96</v>
      </c>
    </row>
    <row r="62" spans="1:58" x14ac:dyDescent="0.55000000000000004">
      <c r="A62" t="s">
        <v>57</v>
      </c>
      <c r="B62" t="s">
        <v>58</v>
      </c>
      <c r="C62" t="s">
        <v>59</v>
      </c>
      <c r="D62" t="s">
        <v>60</v>
      </c>
      <c r="E62" t="s">
        <v>61</v>
      </c>
      <c r="F62" t="s">
        <v>62</v>
      </c>
      <c r="G62" t="s">
        <v>63</v>
      </c>
      <c r="H62" t="s">
        <v>64</v>
      </c>
      <c r="I62" t="s">
        <v>65</v>
      </c>
      <c r="J62" t="s">
        <v>66</v>
      </c>
      <c r="K62" t="s">
        <v>126</v>
      </c>
      <c r="L62" t="s">
        <v>199</v>
      </c>
      <c r="M62" t="s">
        <v>200</v>
      </c>
      <c r="N62" t="str">
        <f>[1]!f_info_reitsoriginal(L62,1)</f>
        <v>北京亦庄盛元投资开发集团有限公司</v>
      </c>
      <c r="O62" t="s">
        <v>70</v>
      </c>
      <c r="P62" t="s">
        <v>71</v>
      </c>
      <c r="Q62" s="1">
        <v>1.2276</v>
      </c>
      <c r="R62" s="1">
        <v>1.2357</v>
      </c>
      <c r="S62" s="1">
        <v>1.2897000000000001</v>
      </c>
      <c r="T62" t="s">
        <v>71</v>
      </c>
      <c r="U62" t="s">
        <v>71</v>
      </c>
      <c r="V62" t="s">
        <v>71</v>
      </c>
      <c r="W62" t="s">
        <v>72</v>
      </c>
      <c r="X62" t="s">
        <v>73</v>
      </c>
      <c r="Y62" t="s">
        <v>74</v>
      </c>
      <c r="Z62" t="s">
        <v>74</v>
      </c>
      <c r="AA62" s="2">
        <v>3.782</v>
      </c>
      <c r="AB62" s="3">
        <v>1626170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3.81</v>
      </c>
      <c r="AJ62" s="3">
        <v>6196143.7999999998</v>
      </c>
      <c r="AK62" s="3">
        <v>-45968.86</v>
      </c>
      <c r="AL62" s="4">
        <v>-0.74</v>
      </c>
      <c r="AM62" s="4">
        <v>0</v>
      </c>
      <c r="AN62" s="4">
        <v>0</v>
      </c>
      <c r="AO62" s="3">
        <v>-43865.1</v>
      </c>
      <c r="AP62" s="4">
        <v>-0.71</v>
      </c>
      <c r="AQ62" s="3">
        <v>2103.7600000000002</v>
      </c>
      <c r="AR62" s="4">
        <v>0.03</v>
      </c>
      <c r="AS62" s="3">
        <v>6150174.9400000004</v>
      </c>
      <c r="AT62" t="s">
        <v>75</v>
      </c>
      <c r="AU62" t="s">
        <v>129</v>
      </c>
      <c r="AV62" t="s">
        <v>130</v>
      </c>
      <c r="AW62" t="s">
        <v>71</v>
      </c>
      <c r="AX62" t="s">
        <v>71</v>
      </c>
      <c r="AY62" t="s">
        <v>71</v>
      </c>
      <c r="AZ62" t="s">
        <v>71</v>
      </c>
      <c r="BA62" t="s">
        <v>71</v>
      </c>
      <c r="BB62" t="s">
        <v>60</v>
      </c>
      <c r="BC62" s="3">
        <v>6196143.7999999998</v>
      </c>
      <c r="BD62" s="3">
        <v>6196143.7999999998</v>
      </c>
      <c r="BE62" s="4">
        <v>3.81</v>
      </c>
      <c r="BF62" s="4">
        <v>3.81</v>
      </c>
    </row>
    <row r="63" spans="1:58" x14ac:dyDescent="0.55000000000000004">
      <c r="A63" t="s">
        <v>57</v>
      </c>
      <c r="B63" t="s">
        <v>58</v>
      </c>
      <c r="C63" t="s">
        <v>59</v>
      </c>
      <c r="D63" t="s">
        <v>60</v>
      </c>
      <c r="E63" t="s">
        <v>61</v>
      </c>
      <c r="F63" t="s">
        <v>62</v>
      </c>
      <c r="G63" t="s">
        <v>63</v>
      </c>
      <c r="H63" t="s">
        <v>64</v>
      </c>
      <c r="I63" t="s">
        <v>65</v>
      </c>
      <c r="J63" t="s">
        <v>66</v>
      </c>
      <c r="K63" t="s">
        <v>126</v>
      </c>
      <c r="L63" t="s">
        <v>201</v>
      </c>
      <c r="M63" t="s">
        <v>202</v>
      </c>
      <c r="N63" t="str">
        <f>[1]!f_info_reitsoriginal(L63,1)</f>
        <v>杉杉商业集团有限公司</v>
      </c>
      <c r="O63" t="s">
        <v>70</v>
      </c>
      <c r="P63" t="s">
        <v>71</v>
      </c>
      <c r="Q63" s="1">
        <v>1.5048999999999999</v>
      </c>
      <c r="R63" s="1">
        <v>1.5148999999999999</v>
      </c>
      <c r="S63" s="1">
        <v>1.581</v>
      </c>
      <c r="T63" t="s">
        <v>71</v>
      </c>
      <c r="U63" t="s">
        <v>71</v>
      </c>
      <c r="V63" t="s">
        <v>71</v>
      </c>
      <c r="W63" t="s">
        <v>72</v>
      </c>
      <c r="X63" t="s">
        <v>73</v>
      </c>
      <c r="Y63" t="s">
        <v>74</v>
      </c>
      <c r="Z63" t="s">
        <v>74</v>
      </c>
      <c r="AA63" s="2">
        <v>4.391</v>
      </c>
      <c r="AB63" s="3">
        <v>1717017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4.4000000000000004</v>
      </c>
      <c r="AJ63" s="3">
        <v>7547021.1900000004</v>
      </c>
      <c r="AK63" s="3">
        <v>-7599.54</v>
      </c>
      <c r="AL63" s="4">
        <v>-0.1</v>
      </c>
      <c r="AM63" s="4">
        <v>0</v>
      </c>
      <c r="AN63" s="4">
        <v>0</v>
      </c>
      <c r="AO63" s="3">
        <v>53325.09</v>
      </c>
      <c r="AP63" s="4">
        <v>0.71</v>
      </c>
      <c r="AQ63" s="3">
        <v>60924.63</v>
      </c>
      <c r="AR63" s="4">
        <v>0.81</v>
      </c>
      <c r="AS63" s="3">
        <v>7539421.6500000004</v>
      </c>
      <c r="AT63" t="s">
        <v>75</v>
      </c>
      <c r="AU63" t="s">
        <v>129</v>
      </c>
      <c r="AV63" t="s">
        <v>130</v>
      </c>
      <c r="AW63" t="s">
        <v>71</v>
      </c>
      <c r="AX63" t="s">
        <v>71</v>
      </c>
      <c r="AY63" t="s">
        <v>71</v>
      </c>
      <c r="AZ63" t="s">
        <v>71</v>
      </c>
      <c r="BA63" t="s">
        <v>71</v>
      </c>
      <c r="BB63" t="s">
        <v>60</v>
      </c>
      <c r="BC63" s="3">
        <v>7547021.1900000004</v>
      </c>
      <c r="BD63" s="3">
        <v>7547021.1900000004</v>
      </c>
      <c r="BE63" s="4">
        <v>4.4000000000000004</v>
      </c>
      <c r="BF63" s="4">
        <v>4.4000000000000004</v>
      </c>
    </row>
    <row r="64" spans="1:58" x14ac:dyDescent="0.55000000000000004">
      <c r="A64" t="s">
        <v>57</v>
      </c>
      <c r="B64" t="s">
        <v>58</v>
      </c>
      <c r="C64" t="s">
        <v>59</v>
      </c>
      <c r="D64" t="s">
        <v>60</v>
      </c>
      <c r="E64" t="s">
        <v>61</v>
      </c>
      <c r="F64" t="s">
        <v>62</v>
      </c>
      <c r="G64" t="s">
        <v>63</v>
      </c>
      <c r="H64" t="s">
        <v>64</v>
      </c>
      <c r="I64" t="s">
        <v>65</v>
      </c>
      <c r="J64" t="s">
        <v>66</v>
      </c>
      <c r="K64" t="s">
        <v>126</v>
      </c>
      <c r="L64" t="s">
        <v>203</v>
      </c>
      <c r="M64" t="s">
        <v>204</v>
      </c>
      <c r="N64" t="str">
        <f>[1]!f_info_reitsoriginal(L64,1)</f>
        <v>九州通医药集团物流有限公司</v>
      </c>
      <c r="O64" t="s">
        <v>70</v>
      </c>
      <c r="P64" t="s">
        <v>71</v>
      </c>
      <c r="Q64" s="1">
        <v>2.14</v>
      </c>
      <c r="R64" s="1">
        <v>2.1543000000000001</v>
      </c>
      <c r="S64" s="1">
        <v>2.2484000000000002</v>
      </c>
      <c r="T64" t="s">
        <v>71</v>
      </c>
      <c r="U64" t="s">
        <v>71</v>
      </c>
      <c r="V64" t="s">
        <v>71</v>
      </c>
      <c r="W64" t="s">
        <v>72</v>
      </c>
      <c r="X64" t="s">
        <v>73</v>
      </c>
      <c r="Y64" t="s">
        <v>74</v>
      </c>
      <c r="Z64" t="s">
        <v>74</v>
      </c>
      <c r="AA64" s="2">
        <v>4.1449999999999996</v>
      </c>
      <c r="AB64" s="3">
        <v>2586648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4.2</v>
      </c>
      <c r="AJ64" s="3">
        <v>10869579.039999999</v>
      </c>
      <c r="AK64" s="3">
        <v>-147923.07999999999</v>
      </c>
      <c r="AL64" s="4">
        <v>-1.36</v>
      </c>
      <c r="AM64" s="4">
        <v>0</v>
      </c>
      <c r="AN64" s="4">
        <v>0</v>
      </c>
      <c r="AO64" s="3">
        <v>-59817.74</v>
      </c>
      <c r="AP64" s="4">
        <v>-0.55000000000000004</v>
      </c>
      <c r="AQ64" s="3">
        <v>88105.34</v>
      </c>
      <c r="AR64" s="4">
        <v>0.81</v>
      </c>
      <c r="AS64" s="3">
        <v>10721655.960000001</v>
      </c>
      <c r="AT64" t="s">
        <v>75</v>
      </c>
      <c r="AU64" t="s">
        <v>129</v>
      </c>
      <c r="AV64" t="s">
        <v>130</v>
      </c>
      <c r="AW64" t="s">
        <v>71</v>
      </c>
      <c r="AX64" t="s">
        <v>71</v>
      </c>
      <c r="AY64" t="s">
        <v>71</v>
      </c>
      <c r="AZ64" t="s">
        <v>71</v>
      </c>
      <c r="BA64" t="s">
        <v>71</v>
      </c>
      <c r="BB64" t="s">
        <v>60</v>
      </c>
      <c r="BC64" s="3">
        <v>10869579.039999999</v>
      </c>
      <c r="BD64" s="3">
        <v>10869579.039999999</v>
      </c>
      <c r="BE64" s="4">
        <v>4.2</v>
      </c>
      <c r="BF64" s="4">
        <v>4.2</v>
      </c>
    </row>
    <row r="65" spans="1:58" x14ac:dyDescent="0.55000000000000004">
      <c r="A65" t="s">
        <v>57</v>
      </c>
      <c r="B65" t="s">
        <v>58</v>
      </c>
      <c r="C65" t="s">
        <v>59</v>
      </c>
      <c r="D65" t="s">
        <v>60</v>
      </c>
      <c r="E65" t="s">
        <v>61</v>
      </c>
      <c r="F65" t="s">
        <v>62</v>
      </c>
      <c r="G65" t="s">
        <v>63</v>
      </c>
      <c r="H65" t="s">
        <v>64</v>
      </c>
      <c r="I65" t="s">
        <v>65</v>
      </c>
      <c r="J65" t="s">
        <v>66</v>
      </c>
      <c r="K65" t="s">
        <v>126</v>
      </c>
      <c r="L65" t="s">
        <v>205</v>
      </c>
      <c r="M65" t="s">
        <v>206</v>
      </c>
      <c r="N65" t="str">
        <f>[1]!f_info_reitsoriginal(L65,1)</f>
        <v>苏州工业园区公租房管理有限公司</v>
      </c>
      <c r="O65" t="s">
        <v>70</v>
      </c>
      <c r="P65" t="s">
        <v>71</v>
      </c>
      <c r="Q65" s="1">
        <v>1.0786</v>
      </c>
      <c r="R65" s="1">
        <v>1.0858000000000001</v>
      </c>
      <c r="S65" s="1">
        <v>1.1332</v>
      </c>
      <c r="T65" t="s">
        <v>71</v>
      </c>
      <c r="U65" t="s">
        <v>71</v>
      </c>
      <c r="V65" t="s">
        <v>71</v>
      </c>
      <c r="W65" t="s">
        <v>72</v>
      </c>
      <c r="X65" t="s">
        <v>73</v>
      </c>
      <c r="Y65" t="s">
        <v>74</v>
      </c>
      <c r="Z65" t="s">
        <v>74</v>
      </c>
      <c r="AA65" s="2">
        <v>3.5</v>
      </c>
      <c r="AB65" s="3">
        <v>1543952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3.74</v>
      </c>
      <c r="AJ65" s="3">
        <v>5779829.0499999998</v>
      </c>
      <c r="AK65" s="3">
        <v>-375997.05</v>
      </c>
      <c r="AL65" s="4">
        <v>-6.51</v>
      </c>
      <c r="AM65" s="4">
        <v>0</v>
      </c>
      <c r="AN65" s="4">
        <v>0</v>
      </c>
      <c r="AO65" s="3">
        <v>-404423.85</v>
      </c>
      <c r="AP65" s="4">
        <v>-7</v>
      </c>
      <c r="AQ65" s="3">
        <v>-28426.799999999999</v>
      </c>
      <c r="AR65" s="4">
        <v>-0.49</v>
      </c>
      <c r="AS65" s="3">
        <v>5403832</v>
      </c>
      <c r="AT65" t="s">
        <v>75</v>
      </c>
      <c r="AU65" t="s">
        <v>129</v>
      </c>
      <c r="AV65" t="s">
        <v>130</v>
      </c>
      <c r="AW65" t="s">
        <v>71</v>
      </c>
      <c r="AX65" t="s">
        <v>71</v>
      </c>
      <c r="AY65" t="s">
        <v>71</v>
      </c>
      <c r="AZ65" t="s">
        <v>71</v>
      </c>
      <c r="BA65" t="s">
        <v>71</v>
      </c>
      <c r="BB65" t="s">
        <v>60</v>
      </c>
      <c r="BC65" s="3">
        <v>5779829.0499999998</v>
      </c>
      <c r="BD65" s="3">
        <v>5779829.0499999998</v>
      </c>
      <c r="BE65" s="4">
        <v>3.74</v>
      </c>
      <c r="BF65" s="4">
        <v>3.74</v>
      </c>
    </row>
    <row r="66" spans="1:58" x14ac:dyDescent="0.55000000000000004">
      <c r="A66" t="s">
        <v>57</v>
      </c>
      <c r="B66" t="s">
        <v>58</v>
      </c>
      <c r="C66" t="s">
        <v>59</v>
      </c>
      <c r="D66" t="s">
        <v>60</v>
      </c>
      <c r="E66" t="s">
        <v>61</v>
      </c>
      <c r="F66" t="s">
        <v>62</v>
      </c>
      <c r="G66" t="s">
        <v>63</v>
      </c>
      <c r="H66" t="s">
        <v>64</v>
      </c>
      <c r="I66" t="s">
        <v>65</v>
      </c>
      <c r="J66" t="s">
        <v>66</v>
      </c>
      <c r="K66" t="s">
        <v>126</v>
      </c>
      <c r="L66" t="s">
        <v>207</v>
      </c>
      <c r="M66" t="s">
        <v>208</v>
      </c>
      <c r="N66" t="str">
        <f>[1]!f_info_reitsoriginal(L66,1)</f>
        <v>河北高速公路集团有限公司</v>
      </c>
      <c r="O66" t="s">
        <v>70</v>
      </c>
      <c r="P66" t="s">
        <v>71</v>
      </c>
      <c r="Q66" s="1">
        <v>0.59809999999999997</v>
      </c>
      <c r="R66" s="1">
        <v>0.60209999999999997</v>
      </c>
      <c r="S66" s="1">
        <v>0.62839999999999996</v>
      </c>
      <c r="T66" t="s">
        <v>71</v>
      </c>
      <c r="U66" t="s">
        <v>71</v>
      </c>
      <c r="V66" t="s">
        <v>71</v>
      </c>
      <c r="W66" t="s">
        <v>72</v>
      </c>
      <c r="X66" t="s">
        <v>73</v>
      </c>
      <c r="Y66" t="s">
        <v>74</v>
      </c>
      <c r="Z66" t="s">
        <v>74</v>
      </c>
      <c r="AA66" s="2">
        <v>5.0640000000000001</v>
      </c>
      <c r="AB66" s="3">
        <v>591700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5.12</v>
      </c>
      <c r="AJ66" s="3">
        <v>3029253.34</v>
      </c>
      <c r="AK66" s="3">
        <v>-32884.54</v>
      </c>
      <c r="AL66" s="4">
        <v>-1.0900000000000001</v>
      </c>
      <c r="AM66" s="4">
        <v>0</v>
      </c>
      <c r="AN66" s="4">
        <v>0</v>
      </c>
      <c r="AO66" s="3">
        <v>18308.5</v>
      </c>
      <c r="AP66" s="4">
        <v>0.6</v>
      </c>
      <c r="AQ66" s="3">
        <v>51193.04</v>
      </c>
      <c r="AR66" s="4">
        <v>1.69</v>
      </c>
      <c r="AS66" s="3">
        <v>2996368.8</v>
      </c>
      <c r="AT66" t="s">
        <v>75</v>
      </c>
      <c r="AU66" t="s">
        <v>129</v>
      </c>
      <c r="AV66" t="s">
        <v>130</v>
      </c>
      <c r="AW66" t="s">
        <v>71</v>
      </c>
      <c r="AX66" t="s">
        <v>71</v>
      </c>
      <c r="AY66" t="s">
        <v>71</v>
      </c>
      <c r="AZ66" t="s">
        <v>71</v>
      </c>
      <c r="BA66" t="s">
        <v>71</v>
      </c>
      <c r="BB66" t="s">
        <v>60</v>
      </c>
      <c r="BC66" s="3">
        <v>3029253.34</v>
      </c>
      <c r="BD66" s="3">
        <v>3029253.34</v>
      </c>
      <c r="BE66" s="4">
        <v>5.12</v>
      </c>
      <c r="BF66" s="4">
        <v>5.12</v>
      </c>
    </row>
    <row r="67" spans="1:58" x14ac:dyDescent="0.55000000000000004">
      <c r="A67" t="s">
        <v>57</v>
      </c>
      <c r="B67" t="s">
        <v>58</v>
      </c>
      <c r="C67" t="s">
        <v>59</v>
      </c>
      <c r="D67" t="s">
        <v>60</v>
      </c>
      <c r="E67" t="s">
        <v>61</v>
      </c>
      <c r="F67" t="s">
        <v>62</v>
      </c>
      <c r="G67" t="s">
        <v>63</v>
      </c>
      <c r="H67" t="s">
        <v>64</v>
      </c>
      <c r="I67" t="s">
        <v>65</v>
      </c>
      <c r="J67" t="s">
        <v>66</v>
      </c>
      <c r="K67" t="s">
        <v>126</v>
      </c>
      <c r="L67" t="s">
        <v>209</v>
      </c>
      <c r="M67" t="s">
        <v>210</v>
      </c>
      <c r="N67" t="str">
        <f>[1]!f_info_reitsoriginal(L67,1)</f>
        <v>济南热力集团有限公司</v>
      </c>
      <c r="O67" t="s">
        <v>70</v>
      </c>
      <c r="P67" t="s">
        <v>71</v>
      </c>
      <c r="Q67" s="1">
        <v>2.4786999999999999</v>
      </c>
      <c r="R67" s="1">
        <v>2.4952000000000001</v>
      </c>
      <c r="S67" s="1">
        <v>2.6042000000000001</v>
      </c>
      <c r="T67" t="s">
        <v>71</v>
      </c>
      <c r="U67" t="s">
        <v>71</v>
      </c>
      <c r="V67" t="s">
        <v>71</v>
      </c>
      <c r="W67" t="s">
        <v>72</v>
      </c>
      <c r="X67" t="s">
        <v>73</v>
      </c>
      <c r="Y67" t="s">
        <v>74</v>
      </c>
      <c r="Z67" t="s">
        <v>74</v>
      </c>
      <c r="AA67" s="2">
        <v>10.821999999999999</v>
      </c>
      <c r="AB67" s="3">
        <v>1147524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11.57</v>
      </c>
      <c r="AJ67" s="3">
        <v>13272212.369999999</v>
      </c>
      <c r="AK67" s="3">
        <v>-853707.64</v>
      </c>
      <c r="AL67" s="4">
        <v>-6.43</v>
      </c>
      <c r="AM67" s="4">
        <v>0</v>
      </c>
      <c r="AN67" s="4">
        <v>0</v>
      </c>
      <c r="AO67" s="3">
        <v>-876335.59</v>
      </c>
      <c r="AP67" s="4">
        <v>-6.6</v>
      </c>
      <c r="AQ67" s="3">
        <v>-22627.95</v>
      </c>
      <c r="AR67" s="4">
        <v>-0.17</v>
      </c>
      <c r="AS67" s="3">
        <v>12418504.73</v>
      </c>
      <c r="AT67" t="s">
        <v>75</v>
      </c>
      <c r="AU67" t="s">
        <v>129</v>
      </c>
      <c r="AV67" t="s">
        <v>130</v>
      </c>
      <c r="AW67" t="s">
        <v>71</v>
      </c>
      <c r="AX67" t="s">
        <v>71</v>
      </c>
      <c r="AY67" t="s">
        <v>71</v>
      </c>
      <c r="AZ67" t="s">
        <v>71</v>
      </c>
      <c r="BA67" t="s">
        <v>71</v>
      </c>
      <c r="BB67" t="s">
        <v>60</v>
      </c>
      <c r="BC67" s="3">
        <v>13272212.369999999</v>
      </c>
      <c r="BD67" s="3">
        <v>13272212.369999999</v>
      </c>
      <c r="BE67" s="4">
        <v>11.57</v>
      </c>
      <c r="BF67" s="4">
        <v>11.57</v>
      </c>
    </row>
    <row r="68" spans="1:58" x14ac:dyDescent="0.55000000000000004">
      <c r="A68" t="s">
        <v>57</v>
      </c>
      <c r="B68" t="s">
        <v>58</v>
      </c>
      <c r="C68" t="s">
        <v>59</v>
      </c>
      <c r="D68" t="s">
        <v>60</v>
      </c>
      <c r="E68" t="s">
        <v>61</v>
      </c>
      <c r="F68" t="s">
        <v>62</v>
      </c>
      <c r="G68" t="s">
        <v>63</v>
      </c>
      <c r="H68" t="s">
        <v>64</v>
      </c>
      <c r="I68" t="s">
        <v>65</v>
      </c>
      <c r="J68" t="s">
        <v>66</v>
      </c>
      <c r="K68" t="s">
        <v>126</v>
      </c>
      <c r="L68" t="s">
        <v>211</v>
      </c>
      <c r="M68" t="s">
        <v>212</v>
      </c>
      <c r="N68" t="str">
        <f>[1]!f_info_reitsoriginal(L68,1)</f>
        <v>BOLINDA LIMITED</v>
      </c>
      <c r="O68" t="s">
        <v>70</v>
      </c>
      <c r="P68" t="s">
        <v>71</v>
      </c>
      <c r="Q68" s="1">
        <v>0.754</v>
      </c>
      <c r="R68" s="1">
        <v>0.7591</v>
      </c>
      <c r="S68" s="1">
        <v>0.79220000000000002</v>
      </c>
      <c r="T68" t="s">
        <v>71</v>
      </c>
      <c r="U68" t="s">
        <v>71</v>
      </c>
      <c r="V68" t="s">
        <v>71</v>
      </c>
      <c r="W68" t="s">
        <v>72</v>
      </c>
      <c r="X68" t="s">
        <v>73</v>
      </c>
      <c r="Y68" t="s">
        <v>74</v>
      </c>
      <c r="Z68" t="s">
        <v>74</v>
      </c>
      <c r="AA68" s="2">
        <v>3.851</v>
      </c>
      <c r="AB68" s="3">
        <v>980978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3.89</v>
      </c>
      <c r="AJ68" s="3">
        <v>3815665.06</v>
      </c>
      <c r="AK68" s="3">
        <v>-37918.78</v>
      </c>
      <c r="AL68" s="4">
        <v>-0.99</v>
      </c>
      <c r="AM68" s="4">
        <v>0</v>
      </c>
      <c r="AN68" s="4">
        <v>0</v>
      </c>
      <c r="AO68" s="3">
        <v>73202.98</v>
      </c>
      <c r="AP68" s="4">
        <v>1.92</v>
      </c>
      <c r="AQ68" s="3">
        <v>111121.76</v>
      </c>
      <c r="AR68" s="4">
        <v>2.91</v>
      </c>
      <c r="AS68" s="3">
        <v>3777746.28</v>
      </c>
      <c r="AT68" t="s">
        <v>75</v>
      </c>
      <c r="AU68" t="s">
        <v>129</v>
      </c>
      <c r="AV68" t="s">
        <v>130</v>
      </c>
      <c r="AW68" t="s">
        <v>71</v>
      </c>
      <c r="AX68" t="s">
        <v>71</v>
      </c>
      <c r="AY68" t="s">
        <v>71</v>
      </c>
      <c r="AZ68" t="s">
        <v>71</v>
      </c>
      <c r="BA68" t="s">
        <v>71</v>
      </c>
      <c r="BB68" t="s">
        <v>60</v>
      </c>
      <c r="BC68" s="3">
        <v>3815665.06</v>
      </c>
      <c r="BD68" s="3">
        <v>3815665.06</v>
      </c>
      <c r="BE68" s="4">
        <v>3.89</v>
      </c>
      <c r="BF68" s="4">
        <v>3.89</v>
      </c>
    </row>
    <row r="69" spans="1:58" x14ac:dyDescent="0.55000000000000004">
      <c r="A69" t="s">
        <v>57</v>
      </c>
      <c r="B69" t="s">
        <v>58</v>
      </c>
      <c r="C69" t="s">
        <v>59</v>
      </c>
      <c r="D69" t="s">
        <v>60</v>
      </c>
      <c r="E69" t="s">
        <v>61</v>
      </c>
      <c r="F69" t="s">
        <v>62</v>
      </c>
      <c r="G69" t="s">
        <v>63</v>
      </c>
      <c r="H69" t="s">
        <v>64</v>
      </c>
      <c r="I69" t="s">
        <v>65</v>
      </c>
      <c r="J69" t="s">
        <v>66</v>
      </c>
      <c r="K69" t="s">
        <v>126</v>
      </c>
      <c r="L69" t="s">
        <v>213</v>
      </c>
      <c r="M69" t="s">
        <v>214</v>
      </c>
      <c r="N69" t="str">
        <f>[1]!f_info_reitsoriginal(L69,1)</f>
        <v>特变电工新疆新能源股份有限公司</v>
      </c>
      <c r="O69" t="s">
        <v>70</v>
      </c>
      <c r="P69" t="s">
        <v>71</v>
      </c>
      <c r="Q69" s="1">
        <v>0.2475</v>
      </c>
      <c r="R69" s="1">
        <v>0.24909999999999999</v>
      </c>
      <c r="S69" s="1">
        <v>0.26</v>
      </c>
      <c r="T69" t="s">
        <v>71</v>
      </c>
      <c r="U69" t="s">
        <v>71</v>
      </c>
      <c r="V69" t="s">
        <v>71</v>
      </c>
      <c r="W69" t="s">
        <v>72</v>
      </c>
      <c r="X69" t="s">
        <v>73</v>
      </c>
      <c r="Y69" t="s">
        <v>74</v>
      </c>
      <c r="Z69" t="s">
        <v>74</v>
      </c>
      <c r="AA69" s="2">
        <v>4.9349999999999996</v>
      </c>
      <c r="AB69" s="3">
        <v>251218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5.08</v>
      </c>
      <c r="AJ69" s="3">
        <v>1276945.05</v>
      </c>
      <c r="AK69" s="3">
        <v>-37184.22</v>
      </c>
      <c r="AL69" s="4">
        <v>-2.91</v>
      </c>
      <c r="AM69" s="4">
        <v>0</v>
      </c>
      <c r="AN69" s="4">
        <v>0</v>
      </c>
      <c r="AO69" s="3">
        <v>-282061.63</v>
      </c>
      <c r="AP69" s="4">
        <v>-22.09</v>
      </c>
      <c r="AQ69" s="3">
        <v>-244877.41</v>
      </c>
      <c r="AR69" s="4">
        <v>-19.18</v>
      </c>
      <c r="AS69" s="3">
        <v>1239760.83</v>
      </c>
      <c r="AT69" t="s">
        <v>75</v>
      </c>
      <c r="AU69" t="s">
        <v>129</v>
      </c>
      <c r="AV69" t="s">
        <v>130</v>
      </c>
      <c r="AW69" t="s">
        <v>71</v>
      </c>
      <c r="AX69" t="s">
        <v>71</v>
      </c>
      <c r="AY69" t="s">
        <v>71</v>
      </c>
      <c r="AZ69" t="s">
        <v>71</v>
      </c>
      <c r="BA69" t="s">
        <v>71</v>
      </c>
      <c r="BB69" t="s">
        <v>60</v>
      </c>
      <c r="BC69" s="3">
        <v>1276945.05</v>
      </c>
      <c r="BD69" s="3">
        <v>1276945.05</v>
      </c>
      <c r="BE69" s="4">
        <v>5.08</v>
      </c>
      <c r="BF69" s="4">
        <v>5.08</v>
      </c>
    </row>
    <row r="70" spans="1:58" x14ac:dyDescent="0.55000000000000004">
      <c r="A70" t="s">
        <v>57</v>
      </c>
      <c r="B70" t="s">
        <v>58</v>
      </c>
      <c r="C70" t="s">
        <v>59</v>
      </c>
      <c r="D70" t="s">
        <v>60</v>
      </c>
      <c r="E70" t="s">
        <v>61</v>
      </c>
      <c r="F70" t="s">
        <v>62</v>
      </c>
      <c r="G70" t="s">
        <v>63</v>
      </c>
      <c r="H70" t="s">
        <v>64</v>
      </c>
      <c r="I70" t="s">
        <v>65</v>
      </c>
      <c r="J70" t="s">
        <v>66</v>
      </c>
      <c r="K70" t="s">
        <v>126</v>
      </c>
      <c r="L70" t="s">
        <v>215</v>
      </c>
      <c r="M70" t="s">
        <v>216</v>
      </c>
      <c r="N70" t="str">
        <f>[1]!f_info_reitsoriginal(L70,1)</f>
        <v>中国外运股份有限公司</v>
      </c>
      <c r="O70" t="s">
        <v>70</v>
      </c>
      <c r="P70" t="s">
        <v>71</v>
      </c>
      <c r="Q70" s="1">
        <v>1.9903</v>
      </c>
      <c r="R70" s="1">
        <v>2.0034999999999998</v>
      </c>
      <c r="S70" s="1">
        <v>2.0910000000000002</v>
      </c>
      <c r="T70" t="s">
        <v>71</v>
      </c>
      <c r="U70" t="s">
        <v>71</v>
      </c>
      <c r="V70" t="s">
        <v>71</v>
      </c>
      <c r="W70" t="s">
        <v>72</v>
      </c>
      <c r="X70" t="s">
        <v>73</v>
      </c>
      <c r="Y70" t="s">
        <v>74</v>
      </c>
      <c r="Z70" t="s">
        <v>74</v>
      </c>
      <c r="AA70" s="2">
        <v>4.0709999999999997</v>
      </c>
      <c r="AB70" s="3">
        <v>2449358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4.21</v>
      </c>
      <c r="AJ70" s="3">
        <v>10303367.689999999</v>
      </c>
      <c r="AK70" s="3">
        <v>-332031.27</v>
      </c>
      <c r="AL70" s="4">
        <v>-3.22</v>
      </c>
      <c r="AM70" s="4">
        <v>0</v>
      </c>
      <c r="AN70" s="4">
        <v>0</v>
      </c>
      <c r="AO70" s="3">
        <v>-154144.45000000001</v>
      </c>
      <c r="AP70" s="4">
        <v>-1.5</v>
      </c>
      <c r="AQ70" s="3">
        <v>177886.82</v>
      </c>
      <c r="AR70" s="4">
        <v>1.73</v>
      </c>
      <c r="AS70" s="3">
        <v>9971336.4199999999</v>
      </c>
      <c r="AT70" t="s">
        <v>75</v>
      </c>
      <c r="AU70" t="s">
        <v>129</v>
      </c>
      <c r="AV70" t="s">
        <v>130</v>
      </c>
      <c r="AW70" t="s">
        <v>71</v>
      </c>
      <c r="AX70" t="s">
        <v>71</v>
      </c>
      <c r="AY70" t="s">
        <v>71</v>
      </c>
      <c r="AZ70" t="s">
        <v>71</v>
      </c>
      <c r="BA70" t="s">
        <v>71</v>
      </c>
      <c r="BB70" t="s">
        <v>60</v>
      </c>
      <c r="BC70" s="3">
        <v>10303367.689999999</v>
      </c>
      <c r="BD70" s="3">
        <v>10303367.689999999</v>
      </c>
      <c r="BE70" s="4">
        <v>4.21</v>
      </c>
      <c r="BF70" s="4">
        <v>4.21</v>
      </c>
    </row>
    <row r="71" spans="1:58" x14ac:dyDescent="0.55000000000000004">
      <c r="A71" t="s">
        <v>57</v>
      </c>
      <c r="B71" t="s">
        <v>58</v>
      </c>
      <c r="C71" t="s">
        <v>59</v>
      </c>
      <c r="D71" t="s">
        <v>60</v>
      </c>
      <c r="E71" t="s">
        <v>61</v>
      </c>
      <c r="F71" t="s">
        <v>62</v>
      </c>
      <c r="G71" t="s">
        <v>63</v>
      </c>
      <c r="H71" t="s">
        <v>64</v>
      </c>
      <c r="I71" t="s">
        <v>65</v>
      </c>
      <c r="J71" t="s">
        <v>66</v>
      </c>
      <c r="K71" t="s">
        <v>126</v>
      </c>
      <c r="L71" t="s">
        <v>217</v>
      </c>
      <c r="M71" t="s">
        <v>218</v>
      </c>
      <c r="N71" t="str">
        <f>[1]!f_info_reitsoriginal(L71,1)</f>
        <v>CAPITALAND MALL ASIA LIMITED</v>
      </c>
      <c r="O71" t="s">
        <v>70</v>
      </c>
      <c r="P71" t="s">
        <v>71</v>
      </c>
      <c r="Q71" s="1">
        <v>0.75600000000000001</v>
      </c>
      <c r="R71" s="1">
        <v>0.76100000000000001</v>
      </c>
      <c r="S71" s="1">
        <v>0.79430000000000001</v>
      </c>
      <c r="T71" t="s">
        <v>71</v>
      </c>
      <c r="U71" t="s">
        <v>71</v>
      </c>
      <c r="V71" t="s">
        <v>71</v>
      </c>
      <c r="W71" t="s">
        <v>72</v>
      </c>
      <c r="X71" t="s">
        <v>73</v>
      </c>
      <c r="Y71" t="s">
        <v>74</v>
      </c>
      <c r="Z71" t="s">
        <v>74</v>
      </c>
      <c r="AA71" s="2">
        <v>6.5359999999999996</v>
      </c>
      <c r="AB71" s="3">
        <v>579487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-57.84</v>
      </c>
      <c r="AK71" s="3">
        <v>3787584.87</v>
      </c>
      <c r="AL71" s="3">
        <v>-6548383.25</v>
      </c>
      <c r="AM71" s="4">
        <v>0</v>
      </c>
      <c r="AN71" s="4">
        <v>0</v>
      </c>
      <c r="AO71" s="3">
        <v>4154266.62</v>
      </c>
      <c r="AP71" s="3">
        <v>-7182342.0099999998</v>
      </c>
      <c r="AQ71" s="3">
        <v>366681.75</v>
      </c>
      <c r="AR71" s="3">
        <v>-633958.77</v>
      </c>
      <c r="AS71" s="3">
        <v>3787527.03</v>
      </c>
      <c r="AT71" t="s">
        <v>75</v>
      </c>
      <c r="AU71" t="s">
        <v>129</v>
      </c>
      <c r="AV71" t="s">
        <v>130</v>
      </c>
      <c r="AW71" t="s">
        <v>71</v>
      </c>
      <c r="AX71" t="s">
        <v>71</v>
      </c>
      <c r="AY71" t="s">
        <v>71</v>
      </c>
      <c r="AZ71" t="s">
        <v>71</v>
      </c>
      <c r="BA71" t="s">
        <v>71</v>
      </c>
      <c r="BB71" t="s">
        <v>60</v>
      </c>
      <c r="BC71" s="3">
        <v>3878956.23</v>
      </c>
      <c r="BD71" s="3">
        <v>3878956.23</v>
      </c>
      <c r="BE71" s="4">
        <v>6.69</v>
      </c>
      <c r="BF71" s="4">
        <v>6.69</v>
      </c>
    </row>
    <row r="72" spans="1:58" x14ac:dyDescent="0.55000000000000004">
      <c r="A72" t="s">
        <v>57</v>
      </c>
      <c r="B72" t="s">
        <v>58</v>
      </c>
      <c r="C72" t="s">
        <v>59</v>
      </c>
      <c r="D72" t="s">
        <v>60</v>
      </c>
      <c r="E72" t="s">
        <v>61</v>
      </c>
      <c r="F72" t="s">
        <v>62</v>
      </c>
      <c r="G72" t="s">
        <v>63</v>
      </c>
      <c r="H72" t="s">
        <v>64</v>
      </c>
      <c r="I72" t="s">
        <v>65</v>
      </c>
      <c r="J72" t="s">
        <v>66</v>
      </c>
      <c r="K72" t="s">
        <v>126</v>
      </c>
      <c r="L72" t="s">
        <v>219</v>
      </c>
      <c r="M72" t="s">
        <v>220</v>
      </c>
      <c r="N72" t="str">
        <f>[1]!f_info_reitsoriginal(L72,1)</f>
        <v>北京金隅集团股份有限公司</v>
      </c>
      <c r="O72" t="s">
        <v>70</v>
      </c>
      <c r="P72" t="s">
        <v>71</v>
      </c>
      <c r="Q72" s="1">
        <v>1.1982999999999999</v>
      </c>
      <c r="R72" s="1">
        <v>1.2061999999999999</v>
      </c>
      <c r="S72" s="1">
        <v>1.2588999999999999</v>
      </c>
      <c r="T72" t="s">
        <v>71</v>
      </c>
      <c r="U72" t="s">
        <v>71</v>
      </c>
      <c r="V72" t="s">
        <v>71</v>
      </c>
      <c r="W72" t="s">
        <v>72</v>
      </c>
      <c r="X72" t="s">
        <v>73</v>
      </c>
      <c r="Y72" t="s">
        <v>74</v>
      </c>
      <c r="Z72" t="s">
        <v>74</v>
      </c>
      <c r="AA72" s="2">
        <v>3.9660000000000002</v>
      </c>
      <c r="AB72" s="3">
        <v>1513694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0</v>
      </c>
      <c r="AI72" s="4">
        <v>4.17</v>
      </c>
      <c r="AJ72" s="3">
        <v>6306213.3799999999</v>
      </c>
      <c r="AK72" s="3">
        <v>-302902.98</v>
      </c>
      <c r="AL72" s="4">
        <v>-4.8</v>
      </c>
      <c r="AM72" s="4">
        <v>0</v>
      </c>
      <c r="AN72" s="4">
        <v>0</v>
      </c>
      <c r="AO72" s="3">
        <v>-283010.18</v>
      </c>
      <c r="AP72" s="4">
        <v>-4.49</v>
      </c>
      <c r="AQ72" s="3">
        <v>19892.8</v>
      </c>
      <c r="AR72" s="4">
        <v>0.32</v>
      </c>
      <c r="AS72" s="3">
        <v>6003310.4000000004</v>
      </c>
      <c r="AT72" t="s">
        <v>75</v>
      </c>
      <c r="AU72" t="s">
        <v>129</v>
      </c>
      <c r="AV72" t="s">
        <v>130</v>
      </c>
      <c r="AW72" t="s">
        <v>71</v>
      </c>
      <c r="AX72" t="s">
        <v>71</v>
      </c>
      <c r="AY72" t="s">
        <v>71</v>
      </c>
      <c r="AZ72" t="s">
        <v>71</v>
      </c>
      <c r="BA72" t="s">
        <v>71</v>
      </c>
      <c r="BB72" t="s">
        <v>60</v>
      </c>
      <c r="BC72" s="3">
        <v>6306213.3799999999</v>
      </c>
      <c r="BD72" s="3">
        <v>6306213.3799999999</v>
      </c>
      <c r="BE72" s="4">
        <v>4.17</v>
      </c>
      <c r="BF72" s="4">
        <v>4.17</v>
      </c>
    </row>
    <row r="73" spans="1:58" x14ac:dyDescent="0.55000000000000004">
      <c r="A73" t="s">
        <v>57</v>
      </c>
      <c r="B73" t="s">
        <v>58</v>
      </c>
      <c r="C73" t="s">
        <v>59</v>
      </c>
      <c r="D73" t="s">
        <v>60</v>
      </c>
      <c r="E73" t="s">
        <v>61</v>
      </c>
      <c r="F73" t="s">
        <v>62</v>
      </c>
      <c r="G73" t="s">
        <v>63</v>
      </c>
      <c r="H73" t="s">
        <v>64</v>
      </c>
      <c r="I73" t="s">
        <v>65</v>
      </c>
      <c r="J73" t="s">
        <v>66</v>
      </c>
      <c r="K73" t="s">
        <v>126</v>
      </c>
      <c r="L73" t="s">
        <v>221</v>
      </c>
      <c r="M73" t="s">
        <v>222</v>
      </c>
      <c r="N73" t="str">
        <f>[1]!f_info_reitsoriginal(L73,1)</f>
        <v>京能国际能源发展(北京)有限公司</v>
      </c>
      <c r="O73" t="s">
        <v>70</v>
      </c>
      <c r="P73" t="s">
        <v>71</v>
      </c>
      <c r="Q73" s="1">
        <v>0.30709999999999998</v>
      </c>
      <c r="R73" s="1">
        <v>0.30909999999999999</v>
      </c>
      <c r="S73" s="1">
        <v>0.3226</v>
      </c>
      <c r="T73" t="s">
        <v>71</v>
      </c>
      <c r="U73" t="s">
        <v>71</v>
      </c>
      <c r="V73" t="s">
        <v>71</v>
      </c>
      <c r="W73" t="s">
        <v>72</v>
      </c>
      <c r="X73" t="s">
        <v>73</v>
      </c>
      <c r="Y73" t="s">
        <v>74</v>
      </c>
      <c r="Z73" t="s">
        <v>74</v>
      </c>
      <c r="AA73" s="2">
        <v>9.9659999999999993</v>
      </c>
      <c r="AB73" s="3">
        <v>154359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10.43</v>
      </c>
      <c r="AJ73" s="3">
        <v>1610241.94</v>
      </c>
      <c r="AK73" s="3">
        <v>-71900.149999999994</v>
      </c>
      <c r="AL73" s="4">
        <v>-4.47</v>
      </c>
      <c r="AM73" s="4">
        <v>0</v>
      </c>
      <c r="AN73" s="4">
        <v>0</v>
      </c>
      <c r="AO73" s="3">
        <v>-385008.12</v>
      </c>
      <c r="AP73" s="4">
        <v>-23.91</v>
      </c>
      <c r="AQ73" s="3">
        <v>-313107.96999999997</v>
      </c>
      <c r="AR73" s="4">
        <v>-19.440000000000001</v>
      </c>
      <c r="AS73" s="3">
        <v>1538341.79</v>
      </c>
      <c r="AT73" t="s">
        <v>75</v>
      </c>
      <c r="AU73" t="s">
        <v>129</v>
      </c>
      <c r="AV73" t="s">
        <v>130</v>
      </c>
      <c r="AW73" t="s">
        <v>71</v>
      </c>
      <c r="AX73" t="s">
        <v>71</v>
      </c>
      <c r="AY73" t="s">
        <v>71</v>
      </c>
      <c r="AZ73" t="s">
        <v>71</v>
      </c>
      <c r="BA73" t="s">
        <v>71</v>
      </c>
      <c r="BB73" t="s">
        <v>60</v>
      </c>
      <c r="BC73" s="3">
        <v>1610241.94</v>
      </c>
      <c r="BD73" s="3">
        <v>1610241.94</v>
      </c>
      <c r="BE73" s="4">
        <v>10.43</v>
      </c>
      <c r="BF73" s="4">
        <v>10.43</v>
      </c>
    </row>
    <row r="74" spans="1:58" x14ac:dyDescent="0.55000000000000004">
      <c r="A74" t="s">
        <v>57</v>
      </c>
      <c r="B74" t="s">
        <v>58</v>
      </c>
      <c r="C74" t="s">
        <v>59</v>
      </c>
      <c r="D74" t="s">
        <v>60</v>
      </c>
      <c r="E74" t="s">
        <v>61</v>
      </c>
      <c r="F74" t="s">
        <v>62</v>
      </c>
      <c r="G74" t="s">
        <v>63</v>
      </c>
      <c r="H74" t="s">
        <v>64</v>
      </c>
      <c r="I74" t="s">
        <v>65</v>
      </c>
      <c r="J74" t="s">
        <v>66</v>
      </c>
      <c r="K74" t="s">
        <v>126</v>
      </c>
      <c r="L74" t="s">
        <v>223</v>
      </c>
      <c r="M74" t="s">
        <v>224</v>
      </c>
      <c r="N74" t="str">
        <f>[1]!f_info_reitsoriginal(L74,1)</f>
        <v>南京市建邺区高新科技投资集团有限公司</v>
      </c>
      <c r="O74" t="s">
        <v>70</v>
      </c>
      <c r="P74" t="s">
        <v>71</v>
      </c>
      <c r="Q74" s="1">
        <v>0.93369999999999997</v>
      </c>
      <c r="R74" s="1">
        <v>0.93989999999999996</v>
      </c>
      <c r="S74" s="1">
        <v>0.98099999999999998</v>
      </c>
      <c r="T74" t="s">
        <v>71</v>
      </c>
      <c r="U74" t="s">
        <v>71</v>
      </c>
      <c r="V74" t="s">
        <v>71</v>
      </c>
      <c r="W74" t="s">
        <v>72</v>
      </c>
      <c r="X74" t="s">
        <v>73</v>
      </c>
      <c r="Y74" t="s">
        <v>74</v>
      </c>
      <c r="Z74" t="s">
        <v>74</v>
      </c>
      <c r="AA74" s="2">
        <v>2.774</v>
      </c>
      <c r="AB74" s="3">
        <v>1686362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2.91</v>
      </c>
      <c r="AJ74" s="3">
        <v>4909266.9000000004</v>
      </c>
      <c r="AK74" s="3">
        <v>-231298.71</v>
      </c>
      <c r="AL74" s="4">
        <v>-4.71</v>
      </c>
      <c r="AM74" s="4">
        <v>0</v>
      </c>
      <c r="AN74" s="4">
        <v>0</v>
      </c>
      <c r="AO74" s="3">
        <v>-246272.72</v>
      </c>
      <c r="AP74" s="4">
        <v>-5.0199999999999996</v>
      </c>
      <c r="AQ74" s="3">
        <v>-14974.01</v>
      </c>
      <c r="AR74" s="4">
        <v>-0.31</v>
      </c>
      <c r="AS74" s="3">
        <v>4677968.1900000004</v>
      </c>
      <c r="AT74" t="s">
        <v>75</v>
      </c>
      <c r="AU74" t="s">
        <v>129</v>
      </c>
      <c r="AV74" t="s">
        <v>130</v>
      </c>
      <c r="AW74" t="s">
        <v>71</v>
      </c>
      <c r="AX74" t="s">
        <v>71</v>
      </c>
      <c r="AY74" t="s">
        <v>71</v>
      </c>
      <c r="AZ74" t="s">
        <v>71</v>
      </c>
      <c r="BA74" t="s">
        <v>71</v>
      </c>
      <c r="BB74" t="s">
        <v>60</v>
      </c>
      <c r="BC74" s="3">
        <v>4909266.9000000004</v>
      </c>
      <c r="BD74" s="3">
        <v>4909266.9000000004</v>
      </c>
      <c r="BE74" s="4">
        <v>2.91</v>
      </c>
      <c r="BF74" s="4">
        <v>2.91</v>
      </c>
    </row>
    <row r="75" spans="1:58" x14ac:dyDescent="0.55000000000000004">
      <c r="A75" t="s">
        <v>57</v>
      </c>
      <c r="B75" t="s">
        <v>58</v>
      </c>
      <c r="C75" t="s">
        <v>59</v>
      </c>
      <c r="D75" t="s">
        <v>60</v>
      </c>
      <c r="E75" t="s">
        <v>61</v>
      </c>
      <c r="F75" t="s">
        <v>62</v>
      </c>
      <c r="G75" t="s">
        <v>63</v>
      </c>
      <c r="H75" t="s">
        <v>64</v>
      </c>
      <c r="I75" t="s">
        <v>65</v>
      </c>
      <c r="J75" t="s">
        <v>66</v>
      </c>
      <c r="K75" t="s">
        <v>126</v>
      </c>
      <c r="L75" t="s">
        <v>225</v>
      </c>
      <c r="M75" t="s">
        <v>226</v>
      </c>
      <c r="N75" t="str">
        <f>[1]!f_info_reitsoriginal(L75,1)</f>
        <v>北京京东世纪贸易有限公司</v>
      </c>
      <c r="O75" t="s">
        <v>70</v>
      </c>
      <c r="P75" t="s">
        <v>71</v>
      </c>
      <c r="Q75" s="1">
        <v>2.7183000000000002</v>
      </c>
      <c r="R75" s="1">
        <v>2.7364000000000002</v>
      </c>
      <c r="S75" s="1">
        <v>2.8559000000000001</v>
      </c>
      <c r="T75" t="s">
        <v>71</v>
      </c>
      <c r="U75" t="s">
        <v>71</v>
      </c>
      <c r="V75" t="s">
        <v>71</v>
      </c>
      <c r="W75" t="s">
        <v>72</v>
      </c>
      <c r="X75" t="s">
        <v>73</v>
      </c>
      <c r="Y75" t="s">
        <v>74</v>
      </c>
      <c r="Z75" t="s">
        <v>74</v>
      </c>
      <c r="AA75" s="2">
        <v>3.34</v>
      </c>
      <c r="AB75" s="3">
        <v>4077426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3.59</v>
      </c>
      <c r="AJ75" s="3">
        <v>14637462.58</v>
      </c>
      <c r="AK75" s="3">
        <v>-1018859.74</v>
      </c>
      <c r="AL75" s="4">
        <v>-6.96</v>
      </c>
      <c r="AM75" s="4">
        <v>0</v>
      </c>
      <c r="AN75" s="4">
        <v>0</v>
      </c>
      <c r="AO75" s="3">
        <v>-1130212.45</v>
      </c>
      <c r="AP75" s="4">
        <v>-7.72</v>
      </c>
      <c r="AQ75" s="3">
        <v>-111352.71</v>
      </c>
      <c r="AR75" s="4">
        <v>-0.76</v>
      </c>
      <c r="AS75" s="3">
        <v>13618602.84</v>
      </c>
      <c r="AT75" t="s">
        <v>75</v>
      </c>
      <c r="AU75" t="s">
        <v>129</v>
      </c>
      <c r="AV75" t="s">
        <v>130</v>
      </c>
      <c r="AW75" t="s">
        <v>71</v>
      </c>
      <c r="AX75" t="s">
        <v>71</v>
      </c>
      <c r="AY75" t="s">
        <v>71</v>
      </c>
      <c r="AZ75" t="s">
        <v>71</v>
      </c>
      <c r="BA75" t="s">
        <v>71</v>
      </c>
      <c r="BB75" t="s">
        <v>60</v>
      </c>
      <c r="BC75" s="3">
        <v>14637462.58</v>
      </c>
      <c r="BD75" s="3">
        <v>14637462.58</v>
      </c>
      <c r="BE75" s="4">
        <v>3.59</v>
      </c>
      <c r="BF75" s="4">
        <v>3.59</v>
      </c>
    </row>
    <row r="76" spans="1:58" x14ac:dyDescent="0.55000000000000004">
      <c r="A76" t="s">
        <v>57</v>
      </c>
      <c r="B76" t="s">
        <v>58</v>
      </c>
      <c r="C76" t="s">
        <v>59</v>
      </c>
      <c r="D76" t="s">
        <v>60</v>
      </c>
      <c r="E76" t="s">
        <v>61</v>
      </c>
      <c r="F76" t="s">
        <v>62</v>
      </c>
      <c r="G76" t="s">
        <v>63</v>
      </c>
      <c r="H76" t="s">
        <v>64</v>
      </c>
      <c r="I76" t="s">
        <v>65</v>
      </c>
      <c r="J76" t="s">
        <v>66</v>
      </c>
      <c r="K76" t="s">
        <v>126</v>
      </c>
      <c r="L76" t="s">
        <v>227</v>
      </c>
      <c r="M76" t="s">
        <v>228</v>
      </c>
      <c r="N76" t="str">
        <f>[1]!f_info_reitsoriginal(L76,1)</f>
        <v>北京中关村软件园发展有限责任公司</v>
      </c>
      <c r="O76" t="s">
        <v>70</v>
      </c>
      <c r="P76" t="s">
        <v>71</v>
      </c>
      <c r="Q76" s="1">
        <v>0.45590000000000003</v>
      </c>
      <c r="R76" s="1">
        <v>0.45900000000000002</v>
      </c>
      <c r="S76" s="1">
        <v>0.47899999999999998</v>
      </c>
      <c r="T76" t="s">
        <v>71</v>
      </c>
      <c r="U76" t="s">
        <v>71</v>
      </c>
      <c r="V76" t="s">
        <v>71</v>
      </c>
      <c r="W76" t="s">
        <v>72</v>
      </c>
      <c r="X76" t="s">
        <v>73</v>
      </c>
      <c r="Y76" t="s">
        <v>74</v>
      </c>
      <c r="Z76" t="s">
        <v>74</v>
      </c>
      <c r="AA76" s="2">
        <v>1.9450000000000001</v>
      </c>
      <c r="AB76" s="3">
        <v>1174453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2</v>
      </c>
      <c r="AJ76" s="3">
        <v>2343881.06</v>
      </c>
      <c r="AK76" s="3">
        <v>-59569.97</v>
      </c>
      <c r="AL76" s="4">
        <v>-2.54</v>
      </c>
      <c r="AM76" s="4">
        <v>0</v>
      </c>
      <c r="AN76" s="4">
        <v>0</v>
      </c>
      <c r="AO76" s="3">
        <v>-59936.34</v>
      </c>
      <c r="AP76" s="4">
        <v>-2.56</v>
      </c>
      <c r="AQ76" s="4">
        <v>-366.37</v>
      </c>
      <c r="AR76" s="4">
        <v>-0.02</v>
      </c>
      <c r="AS76" s="3">
        <v>2284311.09</v>
      </c>
      <c r="AT76" t="s">
        <v>75</v>
      </c>
      <c r="AU76" t="s">
        <v>129</v>
      </c>
      <c r="AV76" t="s">
        <v>130</v>
      </c>
      <c r="AW76" t="s">
        <v>71</v>
      </c>
      <c r="AX76" t="s">
        <v>71</v>
      </c>
      <c r="AY76" t="s">
        <v>71</v>
      </c>
      <c r="AZ76" t="s">
        <v>71</v>
      </c>
      <c r="BA76" t="s">
        <v>71</v>
      </c>
      <c r="BB76" t="s">
        <v>60</v>
      </c>
      <c r="BC76" s="3">
        <v>2343881.06</v>
      </c>
      <c r="BD76" s="3">
        <v>2343881.06</v>
      </c>
      <c r="BE76" s="4">
        <v>2</v>
      </c>
      <c r="BF76" s="4">
        <v>2</v>
      </c>
    </row>
  </sheetData>
  <phoneticPr fontId="1" type="noConversion"/>
  <pageMargins left="0.7" right="0.7" top="0.75" bottom="0.75" header="0.3" footer="0.3"/>
  <ignoredErrors>
    <ignoredError sqref="O1:BF76 A1:M76" numberStoredAsText="1"/>
  </ignoredErrors>
  <picture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泽 胡</cp:lastModifiedBy>
  <dcterms:modified xsi:type="dcterms:W3CDTF">2026-03-26T00:48:06Z</dcterms:modified>
</cp:coreProperties>
</file>